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C0392B"/>
      <sz val="11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indent="1"/>
    </xf>
    <xf numFmtId="0" fontId="8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 wrapText="1" indent="1"/>
    </xf>
    <xf numFmtId="0" fontId="10" fillId="2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1" fillId="0" borderId="1" applyAlignment="1" pivotButton="0" quotePrefix="0" xfId="0">
      <alignment horizontal="left" vertical="top" indent="1"/>
    </xf>
    <xf numFmtId="0" fontId="8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>
      <c r="A19" s="5" t="inlineStr">
        <is>
          <t>Staging URL &amp; test logins</t>
        </is>
      </c>
    </row>
    <row r="20">
      <c r="A20" s="6" t="inlineStr">
        <is>
          <t>Staging URL:  &lt;PASTE YOUR STAGING URL HERE&gt;</t>
        </is>
      </c>
    </row>
    <row r="21">
      <c r="A21" s="7" t="inlineStr">
        <is>
          <t>Use the login for the persona your row(s) cover. Fill in the credentials before sending.</t>
        </is>
      </c>
    </row>
    <row r="22">
      <c r="A22" s="8" t="inlineStr">
        <is>
          <t>Persona</t>
        </is>
      </c>
      <c r="B22" s="8" t="inlineStr">
        <is>
          <t>Login email</t>
        </is>
      </c>
      <c r="C22" s="8" t="inlineStr">
        <is>
          <t>Password</t>
        </is>
      </c>
      <c r="D22" s="8" t="inlineStr">
        <is>
          <t>Notes</t>
        </is>
      </c>
    </row>
    <row r="23" ht="22" customHeight="1">
      <c r="A23" s="9" t="inlineStr">
        <is>
          <t>Participant (grades 6–12)</t>
        </is>
      </c>
      <c r="B23" s="10" t="inlineStr"/>
      <c r="C23" s="10" t="inlineStr"/>
      <c r="D23" s="11" t="inlineStr">
        <is>
          <t>Self-registers; can also make a fresh one via Sign up</t>
        </is>
      </c>
    </row>
    <row r="24" ht="22" customHeight="1">
      <c r="A24" s="9" t="inlineStr">
        <is>
          <t>Parent — elementary (2–5 child)</t>
        </is>
      </c>
      <c r="B24" s="10" t="inlineStr"/>
      <c r="C24" s="10" t="inlineStr"/>
      <c r="D24" s="11" t="inlineStr">
        <is>
          <t>Manages a child with no login</t>
        </is>
      </c>
    </row>
    <row r="25" ht="22" customHeight="1">
      <c r="A25" s="9" t="inlineStr">
        <is>
          <t>Parent — viewer (6–12 student)</t>
        </is>
      </c>
      <c r="B25" s="10" t="inlineStr"/>
      <c r="C25" s="10" t="inlineStr"/>
      <c r="D25" s="11" t="inlineStr">
        <is>
          <t>View-only; links by matching the student's parent email</t>
        </is>
      </c>
    </row>
    <row r="26" ht="22" customHeight="1">
      <c r="A26" s="9" t="inlineStr">
        <is>
          <t>Supervisor</t>
        </is>
      </c>
      <c r="B26" s="10" t="inlineStr"/>
      <c r="C26" s="10" t="inlineStr"/>
      <c r="D26" s="11" t="inlineStr">
        <is>
          <t>Created by an admin; reviews hours, runs events</t>
        </is>
      </c>
    </row>
    <row r="27" ht="22" customHeight="1">
      <c r="A27" s="9" t="inlineStr">
        <is>
          <t>Admin (single organization)</t>
        </is>
      </c>
      <c r="B27" s="10" t="inlineStr"/>
      <c r="C27" s="10" t="inlineStr"/>
      <c r="D27" s="11" t="inlineStr">
        <is>
          <t>Org-scoped: manages ONE org's users/events/join code</t>
        </is>
      </c>
    </row>
    <row r="28" ht="22" customHeight="1">
      <c r="A28" s="9" t="inlineStr">
        <is>
          <t>Super Admin (whole program)</t>
        </is>
      </c>
      <c r="B28" s="10" t="inlineStr"/>
      <c r="C28" s="10" t="inlineStr"/>
      <c r="D28" s="11" t="inlineStr">
        <is>
          <t>Global: all orgs, creates orgs, audit log, cans total</t>
        </is>
      </c>
    </row>
    <row r="30" ht="22" customHeight="1">
      <c r="A30" s="8" t="inlineStr">
        <is>
          <t>Tester name</t>
        </is>
      </c>
      <c r="B30" s="8" t="inlineStr">
        <is>
          <t>Device / OS</t>
        </is>
      </c>
      <c r="C30" s="8" t="inlineStr">
        <is>
          <t>Browser</t>
        </is>
      </c>
      <c r="D30" s="8" t="inlineStr">
        <is>
          <t>Assigned tab(s)</t>
        </is>
      </c>
      <c r="E30" s="8" t="inlineStr">
        <is>
          <t>Status</t>
        </is>
      </c>
    </row>
    <row r="31">
      <c r="A31" s="12" t="inlineStr">
        <is>
          <t>Aisha Khan (example)</t>
        </is>
      </c>
      <c r="B31" s="12" t="inlineStr">
        <is>
          <t>iPhone 14, iOS 17</t>
        </is>
      </c>
      <c r="C31" s="12" t="inlineStr">
        <is>
          <t>Safari</t>
        </is>
      </c>
      <c r="D31" s="12" t="inlineStr">
        <is>
          <t>iOS</t>
        </is>
      </c>
      <c r="E31" s="12" t="inlineStr">
        <is>
          <t>In progress</t>
        </is>
      </c>
    </row>
    <row r="32">
      <c r="A32" s="13" t="n"/>
      <c r="B32" s="13" t="n"/>
      <c r="C32" s="13" t="n"/>
      <c r="D32" s="13" t="n"/>
      <c r="E32" s="13" t="n"/>
    </row>
    <row r="33">
      <c r="A33" s="13" t="n"/>
      <c r="B33" s="13" t="n"/>
      <c r="C33" s="13" t="n"/>
      <c r="D33" s="13" t="n"/>
      <c r="E33" s="13" t="n"/>
    </row>
    <row r="34">
      <c r="A34" s="13" t="n"/>
      <c r="B34" s="13" t="n"/>
      <c r="C34" s="13" t="n"/>
      <c r="D34" s="13" t="n"/>
      <c r="E34" s="13" t="n"/>
    </row>
    <row r="35">
      <c r="A35" s="13" t="n"/>
      <c r="B35" s="13" t="n"/>
      <c r="C35" s="13" t="n"/>
      <c r="D35" s="13" t="n"/>
      <c r="E35" s="13" t="n"/>
    </row>
    <row r="36">
      <c r="A36" s="13" t="n"/>
      <c r="B36" s="13" t="n"/>
      <c r="C36" s="13" t="n"/>
      <c r="D36" s="13" t="n"/>
      <c r="E36" s="13" t="n"/>
    </row>
    <row r="37">
      <c r="A37" s="13" t="n"/>
      <c r="B37" s="13" t="n"/>
      <c r="C37" s="13" t="n"/>
      <c r="D37" s="13" t="n"/>
      <c r="E37" s="13" t="n"/>
    </row>
    <row r="38">
      <c r="A38" s="13" t="n"/>
      <c r="B38" s="13" t="n"/>
      <c r="C38" s="13" t="n"/>
      <c r="D38" s="13" t="n"/>
      <c r="E38" s="13" t="n"/>
    </row>
    <row r="39">
      <c r="A39" s="13" t="n"/>
      <c r="B39" s="13" t="n"/>
      <c r="C39" s="13" t="n"/>
      <c r="D39" s="13" t="n"/>
      <c r="E39" s="13" t="n"/>
    </row>
    <row r="40">
      <c r="A40" s="13" t="n"/>
      <c r="B40" s="13" t="n"/>
      <c r="C40" s="13" t="n"/>
      <c r="D40" s="13" t="n"/>
      <c r="E40" s="13" t="n"/>
    </row>
    <row r="41">
      <c r="A41" s="13" t="n"/>
      <c r="B41" s="13" t="n"/>
      <c r="C41" s="13" t="n"/>
      <c r="D41" s="13" t="n"/>
      <c r="E41" s="13" t="n"/>
    </row>
    <row r="42">
      <c r="A42" s="13" t="n"/>
      <c r="B42" s="13" t="n"/>
      <c r="C42" s="13" t="n"/>
      <c r="D42" s="13" t="n"/>
      <c r="E42" s="13" t="n"/>
    </row>
    <row r="43">
      <c r="A43" s="13" t="n"/>
      <c r="B43" s="13" t="n"/>
      <c r="C43" s="13" t="n"/>
      <c r="D43" s="13" t="n"/>
      <c r="E43" s="13" t="n"/>
    </row>
    <row r="44">
      <c r="A44" s="13" t="n"/>
      <c r="B44" s="13" t="n"/>
      <c r="C44" s="13" t="n"/>
      <c r="D44" s="13" t="n"/>
      <c r="E44" s="13" t="n"/>
    </row>
    <row r="45">
      <c r="A45" s="13" t="n"/>
      <c r="B45" s="13" t="n"/>
      <c r="C45" s="13" t="n"/>
      <c r="D45" s="13" t="n"/>
      <c r="E45" s="13" t="n"/>
    </row>
  </sheetData>
  <mergeCells count="19">
    <mergeCell ref="A16:F16"/>
    <mergeCell ref="A12:F12"/>
    <mergeCell ref="A3:F3"/>
    <mergeCell ref="A21:F21"/>
    <mergeCell ref="A14:F14"/>
    <mergeCell ref="A5:F5"/>
    <mergeCell ref="A8:F8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dataValidations count="1">
    <dataValidation sqref="E31:E4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4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5" t="inlineStr">
        <is>
          <t>Counts update automatically as testers fill in each platform tab's Result column.</t>
        </is>
      </c>
    </row>
    <row r="4">
      <c r="A4" s="5" t="inlineStr">
        <is>
          <t>Overall by platform</t>
        </is>
      </c>
    </row>
    <row r="5">
      <c r="A5" s="16" t="inlineStr">
        <is>
          <t>Platform</t>
        </is>
      </c>
      <c r="B5" s="16" t="inlineStr">
        <is>
          <t>Total</t>
        </is>
      </c>
      <c r="C5" s="16" t="inlineStr">
        <is>
          <t>Pass</t>
        </is>
      </c>
      <c r="D5" s="16" t="inlineStr">
        <is>
          <t>Fail</t>
        </is>
      </c>
      <c r="E5" s="16" t="inlineStr">
        <is>
          <t>Blocked</t>
        </is>
      </c>
      <c r="F5" s="16" t="inlineStr">
        <is>
          <t>Not tested</t>
        </is>
      </c>
      <c r="G5" s="16" t="inlineStr">
        <is>
          <t>Untested (blank)</t>
        </is>
      </c>
      <c r="H5" s="16" t="inlineStr">
        <is>
          <t>% complete</t>
        </is>
      </c>
    </row>
    <row r="6">
      <c r="A6" s="17" t="inlineStr">
        <is>
          <t>iOS</t>
        </is>
      </c>
      <c r="B6" s="18" t="n">
        <v>97</v>
      </c>
      <c r="C6" s="19">
        <f>COUNTIF('iOS'!$E$3:$E$107,"Pass")</f>
        <v/>
      </c>
      <c r="D6" s="19">
        <f>COUNTIF('iOS'!$E$3:$E$107,"Fail")</f>
        <v/>
      </c>
      <c r="E6" s="19">
        <f>COUNTIF('iOS'!$E$3:$E$107,"Blocked")</f>
        <v/>
      </c>
      <c r="F6" s="19">
        <f>COUNTIF('iOS'!$E$3:$E$107,"Not tested")</f>
        <v/>
      </c>
      <c r="G6" s="19">
        <f>$B6-COUNTA('iOS'!$E$3:$E$107)</f>
        <v/>
      </c>
      <c r="H6" s="20">
        <f>IF($B6=0,0,(COUNTIF('iOS'!$E$3:$E$107,"Pass")+COUNTIF('iOS'!$E$3:$E$107,"Fail")+COUNTIF('iOS'!$E$3:$E$107,"Blocked")+COUNTIF('iOS'!$E$3:$E$107,"Not tested"))/$B6)</f>
        <v/>
      </c>
    </row>
    <row r="7">
      <c r="A7" s="17" t="inlineStr">
        <is>
          <t>Android</t>
        </is>
      </c>
      <c r="B7" s="18" t="n">
        <v>97</v>
      </c>
      <c r="C7" s="19">
        <f>COUNTIF('Android'!$E$3:$E$107,"Pass")</f>
        <v/>
      </c>
      <c r="D7" s="19">
        <f>COUNTIF('Android'!$E$3:$E$107,"Fail")</f>
        <v/>
      </c>
      <c r="E7" s="19">
        <f>COUNTIF('Android'!$E$3:$E$107,"Blocked")</f>
        <v/>
      </c>
      <c r="F7" s="19">
        <f>COUNTIF('Android'!$E$3:$E$107,"Not tested")</f>
        <v/>
      </c>
      <c r="G7" s="19">
        <f>$B7-COUNTA('Android'!$E$3:$E$107)</f>
        <v/>
      </c>
      <c r="H7" s="20">
        <f>IF($B7=0,0,(COUNTIF('Android'!$E$3:$E$107,"Pass")+COUNTIF('Android'!$E$3:$E$107,"Fail")+COUNTIF('Android'!$E$3:$E$107,"Blocked")+COUNTIF('Android'!$E$3:$E$107,"Not tested"))/$B7)</f>
        <v/>
      </c>
    </row>
    <row r="8">
      <c r="A8" s="17" t="inlineStr">
        <is>
          <t>Desktop Chrome</t>
        </is>
      </c>
      <c r="B8" s="18" t="n">
        <v>97</v>
      </c>
      <c r="C8" s="19">
        <f>COUNTIF('Desktop Chrome'!$E$3:$E$107,"Pass")</f>
        <v/>
      </c>
      <c r="D8" s="19">
        <f>COUNTIF('Desktop Chrome'!$E$3:$E$107,"Fail")</f>
        <v/>
      </c>
      <c r="E8" s="19">
        <f>COUNTIF('Desktop Chrome'!$E$3:$E$107,"Blocked")</f>
        <v/>
      </c>
      <c r="F8" s="19">
        <f>COUNTIF('Desktop Chrome'!$E$3:$E$107,"Not tested")</f>
        <v/>
      </c>
      <c r="G8" s="19">
        <f>$B8-COUNTA('Desktop Chrome'!$E$3:$E$107)</f>
        <v/>
      </c>
      <c r="H8" s="20">
        <f>IF($B8=0,0,(COUNTIF('Desktop Chrome'!$E$3:$E$107,"Pass")+COUNTIF('Desktop Chrome'!$E$3:$E$107,"Fail")+COUNTIF('Desktop Chrome'!$E$3:$E$107,"Blocked")+COUNTIF('Desktop Chrome'!$E$3:$E$107,"Not tested"))/$B8)</f>
        <v/>
      </c>
    </row>
    <row r="9">
      <c r="A9" s="17" t="inlineStr">
        <is>
          <t>Desktop Firefox</t>
        </is>
      </c>
      <c r="B9" s="18" t="n">
        <v>97</v>
      </c>
      <c r="C9" s="19">
        <f>COUNTIF('Desktop Firefox'!$E$3:$E$107,"Pass")</f>
        <v/>
      </c>
      <c r="D9" s="19">
        <f>COUNTIF('Desktop Firefox'!$E$3:$E$107,"Fail")</f>
        <v/>
      </c>
      <c r="E9" s="19">
        <f>COUNTIF('Desktop Firefox'!$E$3:$E$107,"Blocked")</f>
        <v/>
      </c>
      <c r="F9" s="19">
        <f>COUNTIF('Desktop Firefox'!$E$3:$E$107,"Not tested")</f>
        <v/>
      </c>
      <c r="G9" s="19">
        <f>$B9-COUNTA('Desktop Firefox'!$E$3:$E$107)</f>
        <v/>
      </c>
      <c r="H9" s="20">
        <f>IF($B9=0,0,(COUNTIF('Desktop Firefox'!$E$3:$E$107,"Pass")+COUNTIF('Desktop Firefox'!$E$3:$E$107,"Fail")+COUNTIF('Desktop Firefox'!$E$3:$E$107,"Blocked")+COUNTIF('Desktop Firefox'!$E$3:$E$107,"Not tested"))/$B9)</f>
        <v/>
      </c>
    </row>
    <row r="10">
      <c r="A10" s="17" t="inlineStr">
        <is>
          <t>Desktop Other</t>
        </is>
      </c>
      <c r="B10" s="18" t="n">
        <v>97</v>
      </c>
      <c r="C10" s="19">
        <f>COUNTIF('Desktop Other'!$E$3:$E$107,"Pass")</f>
        <v/>
      </c>
      <c r="D10" s="19">
        <f>COUNTIF('Desktop Other'!$E$3:$E$107,"Fail")</f>
        <v/>
      </c>
      <c r="E10" s="19">
        <f>COUNTIF('Desktop Other'!$E$3:$E$107,"Blocked")</f>
        <v/>
      </c>
      <c r="F10" s="19">
        <f>COUNTIF('Desktop Other'!$E$3:$E$107,"Not tested")</f>
        <v/>
      </c>
      <c r="G10" s="19">
        <f>$B10-COUNTA('Desktop Other'!$E$3:$E$107)</f>
        <v/>
      </c>
      <c r="H10" s="20">
        <f>IF($B10=0,0,(COUNTIF('Desktop Other'!$E$3:$E$107,"Pass")+COUNTIF('Desktop Other'!$E$3:$E$107,"Fail")+COUNTIF('Desktop Other'!$E$3:$E$107,"Blocked")+COUNTIF('Desktop Other'!$E$3:$E$107,"Not tested"))/$B10)</f>
        <v/>
      </c>
    </row>
    <row r="12">
      <c r="A12" s="5" t="inlineStr">
        <is>
          <t>Pass count by persona × platform</t>
        </is>
      </c>
    </row>
    <row r="13">
      <c r="A13" s="16" t="inlineStr">
        <is>
          <t>Persona group</t>
        </is>
      </c>
      <c r="B13" s="16" t="inlineStr">
        <is>
          <t>iOS</t>
        </is>
      </c>
      <c r="C13" s="16" t="inlineStr">
        <is>
          <t>Android</t>
        </is>
      </c>
      <c r="D13" s="16" t="inlineStr">
        <is>
          <t>Desktop Chrome</t>
        </is>
      </c>
      <c r="E13" s="16" t="inlineStr">
        <is>
          <t>Desktop Firefox</t>
        </is>
      </c>
      <c r="F13" s="16" t="inlineStr">
        <is>
          <t>Desktop Other</t>
        </is>
      </c>
      <c r="G13" s="16" t="inlineStr">
        <is>
          <t>Cases</t>
        </is>
      </c>
    </row>
    <row r="14">
      <c r="A14" s="21" t="inlineStr">
        <is>
          <t>Account &amp; access (all roles)</t>
        </is>
      </c>
      <c r="B14" s="18">
        <f>COUNTIF('iOS'!$E$4:$E$9,"Pass")</f>
        <v/>
      </c>
      <c r="C14" s="18">
        <f>COUNTIF('Android'!$E$4:$E$9,"Pass")</f>
        <v/>
      </c>
      <c r="D14" s="18">
        <f>COUNTIF('Desktop Chrome'!$E$4:$E$9,"Pass")</f>
        <v/>
      </c>
      <c r="E14" s="18">
        <f>COUNTIF('Desktop Firefox'!$E$4:$E$9,"Pass")</f>
        <v/>
      </c>
      <c r="F14" s="18">
        <f>COUNTIF('Desktop Other'!$E$4:$E$9,"Pass")</f>
        <v/>
      </c>
      <c r="G14" s="18" t="n">
        <v>6</v>
      </c>
    </row>
    <row r="15">
      <c r="A15" s="21" t="inlineStr">
        <is>
          <t>Participant (grades 6–12)</t>
        </is>
      </c>
      <c r="B15" s="18">
        <f>COUNTIF('iOS'!$E$11:$E$34,"Pass")</f>
        <v/>
      </c>
      <c r="C15" s="18">
        <f>COUNTIF('Android'!$E$11:$E$34,"Pass")</f>
        <v/>
      </c>
      <c r="D15" s="18">
        <f>COUNTIF('Desktop Chrome'!$E$11:$E$34,"Pass")</f>
        <v/>
      </c>
      <c r="E15" s="18">
        <f>COUNTIF('Desktop Firefox'!$E$11:$E$34,"Pass")</f>
        <v/>
      </c>
      <c r="F15" s="18">
        <f>COUNTIF('Desktop Other'!$E$11:$E$34,"Pass")</f>
        <v/>
      </c>
      <c r="G15" s="18" t="n">
        <v>24</v>
      </c>
    </row>
    <row r="16">
      <c r="A16" s="21" t="inlineStr">
        <is>
          <t>Parent — elementary (grades 2–5 child)</t>
        </is>
      </c>
      <c r="B16" s="18">
        <f>COUNTIF('iOS'!$E$36:$E$50,"Pass")</f>
        <v/>
      </c>
      <c r="C16" s="18">
        <f>COUNTIF('Android'!$E$36:$E$50,"Pass")</f>
        <v/>
      </c>
      <c r="D16" s="18">
        <f>COUNTIF('Desktop Chrome'!$E$36:$E$50,"Pass")</f>
        <v/>
      </c>
      <c r="E16" s="18">
        <f>COUNTIF('Desktop Firefox'!$E$36:$E$50,"Pass")</f>
        <v/>
      </c>
      <c r="F16" s="18">
        <f>COUNTIF('Desktop Other'!$E$36:$E$50,"Pass")</f>
        <v/>
      </c>
      <c r="G16" s="18" t="n">
        <v>15</v>
      </c>
    </row>
    <row r="17">
      <c r="A17" s="21" t="inlineStr">
        <is>
          <t>Parent — viewer (grades 6–12 student)</t>
        </is>
      </c>
      <c r="B17" s="18">
        <f>COUNTIF('iOS'!$E$52:$E$56,"Pass")</f>
        <v/>
      </c>
      <c r="C17" s="18">
        <f>COUNTIF('Android'!$E$52:$E$56,"Pass")</f>
        <v/>
      </c>
      <c r="D17" s="18">
        <f>COUNTIF('Desktop Chrome'!$E$52:$E$56,"Pass")</f>
        <v/>
      </c>
      <c r="E17" s="18">
        <f>COUNTIF('Desktop Firefox'!$E$52:$E$56,"Pass")</f>
        <v/>
      </c>
      <c r="F17" s="18">
        <f>COUNTIF('Desktop Other'!$E$52:$E$56,"Pass")</f>
        <v/>
      </c>
      <c r="G17" s="18" t="n">
        <v>5</v>
      </c>
    </row>
    <row r="18">
      <c r="A18" s="21" t="inlineStr">
        <is>
          <t>Supervisor (created by an Admin)</t>
        </is>
      </c>
      <c r="B18" s="18">
        <f>COUNTIF('iOS'!$E$58:$E$76,"Pass")</f>
        <v/>
      </c>
      <c r="C18" s="18">
        <f>COUNTIF('Android'!$E$58:$E$76,"Pass")</f>
        <v/>
      </c>
      <c r="D18" s="18">
        <f>COUNTIF('Desktop Chrome'!$E$58:$E$76,"Pass")</f>
        <v/>
      </c>
      <c r="E18" s="18">
        <f>COUNTIF('Desktop Firefox'!$E$58:$E$76,"Pass")</f>
        <v/>
      </c>
      <c r="F18" s="18">
        <f>COUNTIF('Desktop Other'!$E$58:$E$76,"Pass")</f>
        <v/>
      </c>
      <c r="G18" s="18" t="n">
        <v>19</v>
      </c>
    </row>
    <row r="19">
      <c r="A19" s="21" t="inlineStr">
        <is>
          <t>Admin (org-scoped)</t>
        </is>
      </c>
      <c r="B19" s="18">
        <f>COUNTIF('iOS'!$E$78:$E$91,"Pass")</f>
        <v/>
      </c>
      <c r="C19" s="18">
        <f>COUNTIF('Android'!$E$78:$E$91,"Pass")</f>
        <v/>
      </c>
      <c r="D19" s="18">
        <f>COUNTIF('Desktop Chrome'!$E$78:$E$91,"Pass")</f>
        <v/>
      </c>
      <c r="E19" s="18">
        <f>COUNTIF('Desktop Firefox'!$E$78:$E$91,"Pass")</f>
        <v/>
      </c>
      <c r="F19" s="18">
        <f>COUNTIF('Desktop Other'!$E$78:$E$91,"Pass")</f>
        <v/>
      </c>
      <c r="G19" s="18" t="n">
        <v>14</v>
      </c>
    </row>
    <row r="20">
      <c r="A20" s="21" t="inlineStr">
        <is>
          <t>Super Admin (global)</t>
        </is>
      </c>
      <c r="B20" s="18">
        <f>COUNTIF('iOS'!$E$93:$E$104,"Pass")</f>
        <v/>
      </c>
      <c r="C20" s="18">
        <f>COUNTIF('Android'!$E$93:$E$104,"Pass")</f>
        <v/>
      </c>
      <c r="D20" s="18">
        <f>COUNTIF('Desktop Chrome'!$E$93:$E$104,"Pass")</f>
        <v/>
      </c>
      <c r="E20" s="18">
        <f>COUNTIF('Desktop Firefox'!$E$93:$E$104,"Pass")</f>
        <v/>
      </c>
      <c r="F20" s="18">
        <f>COUNTIF('Desktop Other'!$E$93:$E$104,"Pass")</f>
        <v/>
      </c>
      <c r="G20" s="18" t="n">
        <v>12</v>
      </c>
    </row>
    <row r="21">
      <c r="A21" s="21" t="inlineStr">
        <is>
          <t>Cross-cutting</t>
        </is>
      </c>
      <c r="B21" s="18">
        <f>COUNTIF('iOS'!$E$106:$E$107,"Pass")</f>
        <v/>
      </c>
      <c r="C21" s="18">
        <f>COUNTIF('Android'!$E$106:$E$107,"Pass")</f>
        <v/>
      </c>
      <c r="D21" s="18">
        <f>COUNTIF('Desktop Chrome'!$E$106:$E$107,"Pass")</f>
        <v/>
      </c>
      <c r="E21" s="18">
        <f>COUNTIF('Desktop Firefox'!$E$106:$E$107,"Pass")</f>
        <v/>
      </c>
      <c r="F21" s="18">
        <f>COUNTIF('Desktop Other'!$E$106:$E$107,"Pass")</f>
        <v/>
      </c>
      <c r="G21" s="18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I want to enter an organization code during sign-up.</t>
        </is>
      </c>
      <c r="C12" s="27" t="inlineStr">
        <is>
          <t>Enter a code in the Organization code field (optional) and submit.</t>
        </is>
      </c>
      <c r="D12" s="27" t="inlineStr">
        <is>
          <t>A valid code enrolls me in that org; a bad code is rejected; blank is allowed.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20" customHeight="1">
      <c r="A77" s="24" t="inlineStr">
        <is>
          <t>Admin (org-scoped)</t>
        </is>
      </c>
      <c r="B77" s="25" t="n"/>
      <c r="C77" s="25" t="n"/>
      <c r="D77" s="25" t="n"/>
      <c r="E77" s="25" t="n"/>
      <c r="F77" s="25" t="n"/>
      <c r="G77" s="25" t="n"/>
    </row>
    <row r="78" ht="42" customHeight="1">
      <c r="A78" s="26" t="inlineStr">
        <is>
          <t>AD1</t>
        </is>
      </c>
      <c r="B78" s="27" t="inlineStr">
        <is>
          <t>As an Admin, I want the correct menu tabs.</t>
        </is>
      </c>
      <c r="C78" s="27" t="inlineStr">
        <is>
          <t>Look at the left menu.</t>
        </is>
      </c>
      <c r="D78" s="27" t="inlineStr">
        <is>
          <t>Dashboard, Pending Reviews, Reviewed History, My Events, All Opportunities, Users, Organizations, My Hours, Help.</t>
        </is>
      </c>
      <c r="E78" s="28" t="n"/>
      <c r="F78" s="27" t="n"/>
      <c r="G78" s="28" t="n"/>
    </row>
    <row r="79" ht="42" customHeight="1">
      <c r="A79" s="26" t="inlineStr">
        <is>
          <t>AD2</t>
        </is>
      </c>
      <c r="B79" s="27" t="inlineStr">
        <is>
          <t>As an Admin, I can do everything a supervisor can.</t>
        </is>
      </c>
      <c r="C79" s="27" t="inlineStr">
        <is>
          <t>Spot-check: approve an item and create an event.</t>
        </is>
      </c>
      <c r="D79" s="27" t="inlineStr">
        <is>
          <t>Both work.</t>
        </is>
      </c>
      <c r="E79" s="28" t="n"/>
      <c r="F79" s="27" t="n"/>
      <c r="G79" s="28" t="n"/>
    </row>
    <row r="80" ht="42" customHeight="1">
      <c r="A80" s="26" t="inlineStr">
        <is>
          <t>AD3</t>
        </is>
      </c>
      <c r="B80" s="27" t="inlineStr">
        <is>
          <t>As an Admin, I only see my org's non-admin users.</t>
        </is>
      </c>
      <c r="C80" s="27" t="inlineStr">
        <is>
          <t>Open Users.</t>
        </is>
      </c>
      <c r="D80" s="27" t="inlineStr">
        <is>
          <t>Only participants/parents/supervisors in your org; no admins/super admins; no other orgs.</t>
        </is>
      </c>
      <c r="E80" s="28" t="n"/>
      <c r="F80" s="27" t="n"/>
      <c r="G80" s="28" t="n"/>
    </row>
    <row r="81" ht="42" customHeight="1">
      <c r="A81" s="26" t="inlineStr">
        <is>
          <t>AD4</t>
        </is>
      </c>
      <c r="B81" s="27" t="inlineStr">
        <is>
          <t>As an Admin, I want to add a supervisor.</t>
        </is>
      </c>
      <c r="C81" s="27" t="inlineStr">
        <is>
          <t>Users → Add user → Supervisor → save.</t>
        </is>
      </c>
      <c r="D81" s="27" t="inlineStr">
        <is>
          <t>Supervisor created, stamped to your org; invite email sent.</t>
        </is>
      </c>
      <c r="E81" s="28" t="n"/>
      <c r="F81" s="27" t="n"/>
      <c r="G81" s="28" t="n"/>
    </row>
    <row r="82" ht="42" customHeight="1">
      <c r="A82" s="26" t="inlineStr">
        <is>
          <t>AD5</t>
        </is>
      </c>
      <c r="B82" s="27" t="inlineStr">
        <is>
          <t>As an Admin, I want to create a participant as a fallback.</t>
        </is>
      </c>
      <c r="C82" s="27" t="inlineStr">
        <is>
          <t>Users → Add user → Participant → save.</t>
        </is>
      </c>
      <c r="D82" s="27" t="inlineStr">
        <is>
          <t>Participant created with a set-password invite (no silent password).</t>
        </is>
      </c>
      <c r="E82" s="28" t="n"/>
      <c r="F82" s="27" t="n"/>
      <c r="G82" s="28" t="n"/>
    </row>
    <row r="83" ht="42" customHeight="1">
      <c r="A83" s="26" t="inlineStr">
        <is>
          <t>AD6</t>
        </is>
      </c>
      <c r="B83" s="27" t="inlineStr">
        <is>
          <t>As an Admin, I want to grant participant hours.</t>
        </is>
      </c>
      <c r="C83" s="27" t="inlineStr">
        <is>
          <t>Open a participant in your org → Add hours.</t>
        </is>
      </c>
      <c r="D83" s="27" t="inlineStr">
        <is>
          <t>Hours auto-approved; count toward their total/medals.</t>
        </is>
      </c>
      <c r="E83" s="28" t="n"/>
      <c r="F83" s="27" t="n"/>
      <c r="G83" s="28" t="n"/>
    </row>
    <row r="84" ht="42" customHeight="1">
      <c r="A84" s="26" t="inlineStr">
        <is>
          <t>AD7</t>
        </is>
      </c>
      <c r="B84" s="27" t="inlineStr">
        <is>
          <t>As an Admin, I want a participant's service record.</t>
        </is>
      </c>
      <c r="C84" s="27" t="inlineStr">
        <is>
          <t>Users → Service record for a participant in your org.</t>
        </is>
      </c>
      <c r="D84" s="27" t="inlineStr">
        <is>
          <t>Record opens.</t>
        </is>
      </c>
      <c r="E84" s="28" t="n"/>
      <c r="F84" s="27" t="n"/>
      <c r="G84" s="28" t="n"/>
    </row>
    <row r="85" ht="42" customHeight="1">
      <c r="A85" s="26" t="inlineStr">
        <is>
          <t>AD8</t>
        </is>
      </c>
      <c r="B85" s="27" t="inlineStr">
        <is>
          <t>As an Admin, I want to edit/delete my org's users.</t>
        </is>
      </c>
      <c r="C85" s="27" t="inlineStr">
        <is>
          <t>Edit a name/phone; delete a test user.</t>
        </is>
      </c>
      <c r="D85" s="27" t="inlineStr">
        <is>
          <t>Changes apply within your org.</t>
        </is>
      </c>
      <c r="E85" s="28" t="n"/>
      <c r="F85" s="27" t="n"/>
      <c r="G85" s="28" t="n"/>
    </row>
    <row r="86" ht="42" customHeight="1">
      <c r="A86" s="26" t="inlineStr">
        <is>
          <t>AD9</t>
        </is>
      </c>
      <c r="B86" s="27" t="inlineStr">
        <is>
          <t>As an Admin, I must NOT act on users outside my org.</t>
        </is>
      </c>
      <c r="C86" s="27" t="inlineStr">
        <is>
          <t>Attempt to reach another org's user (e.g. direct URL).</t>
        </is>
      </c>
      <c r="D86" s="27" t="inlineStr">
        <is>
          <t>Blocked / not visible.</t>
        </is>
      </c>
      <c r="E86" s="28" t="n"/>
      <c r="F86" s="27" t="n"/>
      <c r="G86" s="28" t="n"/>
    </row>
    <row r="87" ht="42" customHeight="1">
      <c r="A87" s="26" t="inlineStr">
        <is>
          <t>AD10</t>
        </is>
      </c>
      <c r="B87" s="27" t="inlineStr">
        <is>
          <t>As an Admin, I cannot grant Admin access or manage admins.</t>
        </is>
      </c>
      <c r="C87" s="27" t="inlineStr">
        <is>
          <t>Look for the 'grant Admin access' action.</t>
        </is>
      </c>
      <c r="D87" s="27" t="inlineStr">
        <is>
          <t>No such button; attempts are blocked server-side.</t>
        </is>
      </c>
      <c r="E87" s="28" t="n"/>
      <c r="F87" s="27" t="n"/>
      <c r="G87" s="28" t="n"/>
    </row>
    <row r="88" ht="42" customHeight="1">
      <c r="A88" s="26" t="inlineStr">
        <is>
          <t>AD11</t>
        </is>
      </c>
      <c r="B88" s="27" t="inlineStr">
        <is>
          <t>As an Admin, I see and edit only my own organization.</t>
        </is>
      </c>
      <c r="C88" s="27" t="inlineStr">
        <is>
          <t>Open Organizations.</t>
        </is>
      </c>
      <c r="D88" s="27" t="inlineStr">
        <is>
          <t>Only your org shows; you can edit its settings.</t>
        </is>
      </c>
      <c r="E88" s="28" t="n"/>
      <c r="F88" s="27" t="n"/>
      <c r="G88" s="28" t="n"/>
    </row>
    <row r="89" ht="42" customHeight="1">
      <c r="A89" s="26" t="inlineStr">
        <is>
          <t>AD12</t>
        </is>
      </c>
      <c r="B89" s="27" t="inlineStr">
        <is>
          <t>As an Admin, I want to generate/rotate my org's join code.</t>
        </is>
      </c>
      <c r="C89" s="27" t="inlineStr">
        <is>
          <t>Organizations → set/generate a join code → save.</t>
        </is>
      </c>
      <c r="D89" s="27" t="inlineStr">
        <is>
          <t>Join code saved; usable at sign-up.</t>
        </is>
      </c>
      <c r="E89" s="28" t="n"/>
      <c r="F89" s="27" t="n"/>
      <c r="G89" s="28" t="n"/>
    </row>
    <row r="90" ht="42" customHeight="1">
      <c r="A90" s="26" t="inlineStr">
        <is>
          <t>AD13</t>
        </is>
      </c>
      <c r="B90" s="27" t="inlineStr">
        <is>
          <t>As an Admin, I cannot create organizations.</t>
        </is>
      </c>
      <c r="C90" s="27" t="inlineStr">
        <is>
          <t>Look for 'Add organization'.</t>
        </is>
      </c>
      <c r="D90" s="27" t="inlineStr">
        <is>
          <t>No Add button; creation blocked.</t>
        </is>
      </c>
      <c r="E90" s="28" t="n"/>
      <c r="F90" s="27" t="n"/>
      <c r="G90" s="28" t="n"/>
    </row>
    <row r="91" ht="42" customHeight="1">
      <c r="A91" s="26" t="inlineStr">
        <is>
          <t>AD14</t>
        </is>
      </c>
      <c r="B91" s="27" t="inlineStr">
        <is>
          <t>As an Admin, I cannot change the recycling cans total.</t>
        </is>
      </c>
      <c r="C91" s="27" t="inlineStr">
        <is>
          <t>Look for the cans/bin admin control.</t>
        </is>
      </c>
      <c r="D91" s="27" t="inlineStr">
        <is>
          <t>Not available (Super Admin only).</t>
        </is>
      </c>
      <c r="E91" s="28" t="n"/>
      <c r="F91" s="27" t="n"/>
      <c r="G91" s="28" t="n"/>
    </row>
    <row r="92" ht="20" customHeight="1">
      <c r="A92" s="24" t="inlineStr">
        <is>
          <t>Super Admin (global)</t>
        </is>
      </c>
      <c r="B92" s="25" t="n"/>
      <c r="C92" s="25" t="n"/>
      <c r="D92" s="25" t="n"/>
      <c r="E92" s="25" t="n"/>
      <c r="F92" s="25" t="n"/>
      <c r="G92" s="25" t="n"/>
    </row>
    <row r="93" ht="42" customHeight="1">
      <c r="A93" s="26" t="inlineStr">
        <is>
          <t>SA1</t>
        </is>
      </c>
      <c r="B93" s="27" t="inlineStr">
        <is>
          <t>As a Super Admin, I want the correct menu tabs.</t>
        </is>
      </c>
      <c r="C93" s="27" t="inlineStr">
        <is>
          <t>Look at the left menu.</t>
        </is>
      </c>
      <c r="D93" s="27" t="inlineStr">
        <is>
          <t>Dashboard, Reports, Users, Events, Organizations (Help in footer).</t>
        </is>
      </c>
      <c r="E93" s="28" t="n"/>
      <c r="F93" s="27" t="n"/>
      <c r="G93" s="28" t="n"/>
    </row>
    <row r="94" ht="42" customHeight="1">
      <c r="A94" s="26" t="inlineStr">
        <is>
          <t>SA2</t>
        </is>
      </c>
      <c r="B94" s="27" t="inlineStr">
        <is>
          <t>As a Super Admin, I can do everything an Admin can, across all orgs.</t>
        </is>
      </c>
      <c r="C94" s="27" t="inlineStr">
        <is>
          <t>Spot-check user + org actions on more than one org.</t>
        </is>
      </c>
      <c r="D94" s="27" t="inlineStr">
        <is>
          <t>All allowed regardless of org.</t>
        </is>
      </c>
      <c r="E94" s="28" t="n"/>
      <c r="F94" s="27" t="n"/>
      <c r="G94" s="28" t="n"/>
    </row>
    <row r="95" ht="42" customHeight="1">
      <c r="A95" s="26" t="inlineStr">
        <is>
          <t>SA3</t>
        </is>
      </c>
      <c r="B95" s="27" t="inlineStr">
        <is>
          <t>As a Super Admin, I want to create users incl. Supervisor and Super Admin.</t>
        </is>
      </c>
      <c r="C95" s="27" t="inlineStr">
        <is>
          <t>Users → Add user → each role.</t>
        </is>
      </c>
      <c r="D95" s="27" t="inlineStr">
        <is>
          <t>Participant/Supervisor/Super Admin options available; account created + invite email.</t>
        </is>
      </c>
      <c r="E95" s="28" t="n"/>
      <c r="F95" s="27" t="n"/>
      <c r="G95" s="28" t="n"/>
    </row>
    <row r="96" ht="42" customHeight="1">
      <c r="A96" s="26" t="inlineStr">
        <is>
          <t>SA4</t>
        </is>
      </c>
      <c r="B96" s="27" t="inlineStr">
        <is>
          <t>As a Super Admin, I want to grant/revoke Admin access.</t>
        </is>
      </c>
      <c r="C96" s="27" t="inlineStr">
        <is>
          <t>Open a user → grant Admin access → check org(s) → save; then uncheck all → save.</t>
        </is>
      </c>
      <c r="D96" s="27" t="inlineStr">
        <is>
          <t>Checking orgs makes an Admin; unchecking all reverts to participant.</t>
        </is>
      </c>
      <c r="E96" s="28" t="n"/>
      <c r="F96" s="27" t="n"/>
      <c r="G96" s="28" t="n"/>
    </row>
    <row r="97" ht="42" customHeight="1">
      <c r="A97" s="26" t="inlineStr">
        <is>
          <t>SA5</t>
        </is>
      </c>
      <c r="B97" s="27" t="inlineStr">
        <is>
          <t>As a Super Admin, I want to create organizations + join codes.</t>
        </is>
      </c>
      <c r="C97" s="27" t="inlineStr">
        <is>
          <t>Organizations → Add organization → set details + join code.</t>
        </is>
      </c>
      <c r="D97" s="27" t="inlineStr">
        <is>
          <t>Org created with its join code.</t>
        </is>
      </c>
      <c r="E97" s="28" t="n"/>
      <c r="F97" s="27" t="n"/>
      <c r="G97" s="28" t="n"/>
    </row>
    <row r="98" ht="42" customHeight="1">
      <c r="A98" s="26" t="inlineStr">
        <is>
          <t>SA6</t>
        </is>
      </c>
      <c r="B98" s="27" t="inlineStr">
        <is>
          <t>As a Super Admin, I want to find users by type.</t>
        </is>
      </c>
      <c r="C98" s="27" t="inlineStr">
        <is>
          <t>Users → role filter pills + search.</t>
        </is>
      </c>
      <c r="D98" s="27" t="inlineStr">
        <is>
          <t>Filter by role with counts; search by name/email across all orgs.</t>
        </is>
      </c>
      <c r="E98" s="28" t="n"/>
      <c r="F98" s="27" t="n"/>
      <c r="G98" s="28" t="n"/>
    </row>
    <row r="99" ht="42" customHeight="1">
      <c r="A99" s="26" t="inlineStr">
        <is>
          <t>SA7</t>
        </is>
      </c>
      <c r="B99" s="27" t="inlineStr">
        <is>
          <t>As a Super Admin, I want to search events.</t>
        </is>
      </c>
      <c r="C99" s="27" t="inlineStr">
        <is>
          <t>Events → search + date range; check supervisor/org per card.</t>
        </is>
      </c>
      <c r="D99" s="27" t="inlineStr">
        <is>
          <t>Filters work; each event shows supervisor and organization.</t>
        </is>
      </c>
      <c r="E99" s="28" t="n"/>
      <c r="F99" s="27" t="n"/>
      <c r="G99" s="28" t="n"/>
    </row>
    <row r="100" ht="42" customHeight="1">
      <c r="A100" s="26" t="inlineStr">
        <is>
          <t>SA8</t>
        </is>
      </c>
      <c r="B100" s="27" t="inlineStr">
        <is>
          <t>As a Super Admin, I want clear event-visibility labels.</t>
        </is>
      </c>
      <c r="C100" s="27" t="inlineStr">
        <is>
          <t>New Event → 'Who can see this'.</t>
        </is>
      </c>
      <c r="D100" s="27" t="inlineStr">
        <is>
          <t>'Open to all (community)' and 'Only &lt;org&gt; students' with helper text.</t>
        </is>
      </c>
      <c r="E100" s="28" t="n"/>
      <c r="F100" s="27" t="n"/>
      <c r="G100" s="28" t="n"/>
    </row>
    <row r="101" ht="42" customHeight="1">
      <c r="A101" s="26" t="inlineStr">
        <is>
          <t>SA9</t>
        </is>
      </c>
      <c r="B101" s="27" t="inlineStr">
        <is>
          <t>As a Super Admin, I want program-wide reports.</t>
        </is>
      </c>
      <c r="C101" s="27" t="inlineStr">
        <is>
          <t>Open Reports / Dashboard.</t>
        </is>
      </c>
      <c r="D101" s="27" t="inlineStr">
        <is>
          <t>Totals and charts across the whole program.</t>
        </is>
      </c>
      <c r="E101" s="28" t="n"/>
      <c r="F101" s="27" t="n"/>
      <c r="G101" s="28" t="n"/>
    </row>
    <row r="102" ht="42" customHeight="1">
      <c r="A102" s="26" t="inlineStr">
        <is>
          <t>SA10</t>
        </is>
      </c>
      <c r="B102" s="27" t="inlineStr">
        <is>
          <t>As a Super Admin, I want to verify email works.</t>
        </is>
      </c>
      <c r="C102" s="27" t="inlineStr">
        <is>
          <t>Dashboard → Send test email.</t>
        </is>
      </c>
      <c r="D102" s="27" t="inlineStr">
        <is>
          <t>Result shown (success or the exact failure reason).</t>
        </is>
      </c>
      <c r="E102" s="28" t="n"/>
      <c r="F102" s="27" t="n"/>
      <c r="G102" s="28" t="n"/>
    </row>
    <row r="103" ht="42" customHeight="1">
      <c r="A103" s="26" t="inlineStr">
        <is>
          <t>SA11</t>
        </is>
      </c>
      <c r="B103" s="27" t="inlineStr">
        <is>
          <t>As a Super Admin, I want to update the recycling cans total.</t>
        </is>
      </c>
      <c r="C103" s="27" t="inlineStr">
        <is>
          <t>Use the cans/bin admin control.</t>
        </is>
      </c>
      <c r="D103" s="27" t="inlineStr">
        <is>
          <t>Total updates; the ribbon reflects it.</t>
        </is>
      </c>
      <c r="E103" s="28" t="n"/>
      <c r="F103" s="27" t="n"/>
      <c r="G103" s="28" t="n"/>
    </row>
    <row r="104" ht="42" customHeight="1">
      <c r="A104" s="26" t="inlineStr">
        <is>
          <t>SA12</t>
        </is>
      </c>
      <c r="B104" s="27" t="inlineStr">
        <is>
          <t>As a Super Admin, I want hours + records for any user.</t>
        </is>
      </c>
      <c r="C104" s="27" t="inlineStr">
        <is>
          <t>Add manual hours / open service record for any participant.</t>
        </is>
      </c>
      <c r="D104" s="27" t="inlineStr">
        <is>
          <t>Works for any org.</t>
        </is>
      </c>
      <c r="E104" s="28" t="n"/>
      <c r="F104" s="27" t="n"/>
      <c r="G104" s="28" t="n"/>
    </row>
    <row r="105" ht="20" customHeight="1">
      <c r="A105" s="24" t="inlineStr">
        <is>
          <t>Cross-cutting</t>
        </is>
      </c>
      <c r="B105" s="25" t="n"/>
      <c r="C105" s="25" t="n"/>
      <c r="D105" s="25" t="n"/>
      <c r="E105" s="25" t="n"/>
      <c r="F105" s="25" t="n"/>
      <c r="G105" s="25" t="n"/>
    </row>
    <row r="106" ht="42" customHeight="1">
      <c r="A106" s="26" t="inlineStr">
        <is>
          <t>X1</t>
        </is>
      </c>
      <c r="B106" s="27" t="inlineStr">
        <is>
          <t>As a phone user, I want a usable mobile layout.</t>
        </is>
      </c>
      <c r="C106" s="27" t="inlineStr">
        <is>
          <t>Open at phone width; use the menu drawer.</t>
        </is>
      </c>
      <c r="D106" s="27" t="inlineStr">
        <is>
          <t>Layout adapts; drawer opens/closes; no horizontal scroll.</t>
        </is>
      </c>
      <c r="E106" s="28" t="n"/>
      <c r="F106" s="27" t="n"/>
      <c r="G106" s="28" t="n"/>
    </row>
    <row r="107" ht="42" customHeight="1">
      <c r="A107" s="26" t="inlineStr">
        <is>
          <t>X2</t>
        </is>
      </c>
      <c r="B107" s="27" t="inlineStr">
        <is>
          <t>As a visitor, I want the recycling ribbon on the login page.</t>
        </is>
      </c>
      <c r="C107" s="27" t="inlineStr">
        <is>
          <t>Open login signed out.</t>
        </is>
      </c>
      <c r="D107" s="27" t="inlineStr">
        <is>
          <t>Green ribbon shows on login.</t>
        </is>
      </c>
      <c r="E107" s="28" t="n"/>
      <c r="F107" s="27" t="n"/>
      <c r="G107" s="28" t="n"/>
    </row>
  </sheetData>
  <mergeCells count="9">
    <mergeCell ref="A1:G1"/>
    <mergeCell ref="A3:G3"/>
    <mergeCell ref="A77:G77"/>
    <mergeCell ref="A105:G105"/>
    <mergeCell ref="A35:G35"/>
    <mergeCell ref="A92:G92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8:E91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3:E10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6:E10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6 E78:E91 E93:E104 E106:E10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I want to enter an organization code during sign-up.</t>
        </is>
      </c>
      <c r="C12" s="27" t="inlineStr">
        <is>
          <t>Enter a code in the Organization code field (optional) and submit.</t>
        </is>
      </c>
      <c r="D12" s="27" t="inlineStr">
        <is>
          <t>A valid code enrolls me in that org; a bad code is rejected; blank is allowed.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20" customHeight="1">
      <c r="A77" s="24" t="inlineStr">
        <is>
          <t>Admin (org-scoped)</t>
        </is>
      </c>
      <c r="B77" s="25" t="n"/>
      <c r="C77" s="25" t="n"/>
      <c r="D77" s="25" t="n"/>
      <c r="E77" s="25" t="n"/>
      <c r="F77" s="25" t="n"/>
      <c r="G77" s="25" t="n"/>
    </row>
    <row r="78" ht="42" customHeight="1">
      <c r="A78" s="26" t="inlineStr">
        <is>
          <t>AD1</t>
        </is>
      </c>
      <c r="B78" s="27" t="inlineStr">
        <is>
          <t>As an Admin, I want the correct menu tabs.</t>
        </is>
      </c>
      <c r="C78" s="27" t="inlineStr">
        <is>
          <t>Look at the left menu.</t>
        </is>
      </c>
      <c r="D78" s="27" t="inlineStr">
        <is>
          <t>Dashboard, Pending Reviews, Reviewed History, My Events, All Opportunities, Users, Organizations, My Hours, Help.</t>
        </is>
      </c>
      <c r="E78" s="28" t="n"/>
      <c r="F78" s="27" t="n"/>
      <c r="G78" s="28" t="n"/>
    </row>
    <row r="79" ht="42" customHeight="1">
      <c r="A79" s="26" t="inlineStr">
        <is>
          <t>AD2</t>
        </is>
      </c>
      <c r="B79" s="27" t="inlineStr">
        <is>
          <t>As an Admin, I can do everything a supervisor can.</t>
        </is>
      </c>
      <c r="C79" s="27" t="inlineStr">
        <is>
          <t>Spot-check: approve an item and create an event.</t>
        </is>
      </c>
      <c r="D79" s="27" t="inlineStr">
        <is>
          <t>Both work.</t>
        </is>
      </c>
      <c r="E79" s="28" t="n"/>
      <c r="F79" s="27" t="n"/>
      <c r="G79" s="28" t="n"/>
    </row>
    <row r="80" ht="42" customHeight="1">
      <c r="A80" s="26" t="inlineStr">
        <is>
          <t>AD3</t>
        </is>
      </c>
      <c r="B80" s="27" t="inlineStr">
        <is>
          <t>As an Admin, I only see my org's non-admin users.</t>
        </is>
      </c>
      <c r="C80" s="27" t="inlineStr">
        <is>
          <t>Open Users.</t>
        </is>
      </c>
      <c r="D80" s="27" t="inlineStr">
        <is>
          <t>Only participants/parents/supervisors in your org; no admins/super admins; no other orgs.</t>
        </is>
      </c>
      <c r="E80" s="28" t="n"/>
      <c r="F80" s="27" t="n"/>
      <c r="G80" s="28" t="n"/>
    </row>
    <row r="81" ht="42" customHeight="1">
      <c r="A81" s="26" t="inlineStr">
        <is>
          <t>AD4</t>
        </is>
      </c>
      <c r="B81" s="27" t="inlineStr">
        <is>
          <t>As an Admin, I want to add a supervisor.</t>
        </is>
      </c>
      <c r="C81" s="27" t="inlineStr">
        <is>
          <t>Users → Add user → Supervisor → save.</t>
        </is>
      </c>
      <c r="D81" s="27" t="inlineStr">
        <is>
          <t>Supervisor created, stamped to your org; invite email sent.</t>
        </is>
      </c>
      <c r="E81" s="28" t="n"/>
      <c r="F81" s="27" t="n"/>
      <c r="G81" s="28" t="n"/>
    </row>
    <row r="82" ht="42" customHeight="1">
      <c r="A82" s="26" t="inlineStr">
        <is>
          <t>AD5</t>
        </is>
      </c>
      <c r="B82" s="27" t="inlineStr">
        <is>
          <t>As an Admin, I want to create a participant as a fallback.</t>
        </is>
      </c>
      <c r="C82" s="27" t="inlineStr">
        <is>
          <t>Users → Add user → Participant → save.</t>
        </is>
      </c>
      <c r="D82" s="27" t="inlineStr">
        <is>
          <t>Participant created with a set-password invite (no silent password).</t>
        </is>
      </c>
      <c r="E82" s="28" t="n"/>
      <c r="F82" s="27" t="n"/>
      <c r="G82" s="28" t="n"/>
    </row>
    <row r="83" ht="42" customHeight="1">
      <c r="A83" s="26" t="inlineStr">
        <is>
          <t>AD6</t>
        </is>
      </c>
      <c r="B83" s="27" t="inlineStr">
        <is>
          <t>As an Admin, I want to grant participant hours.</t>
        </is>
      </c>
      <c r="C83" s="27" t="inlineStr">
        <is>
          <t>Open a participant in your org → Add hours.</t>
        </is>
      </c>
      <c r="D83" s="27" t="inlineStr">
        <is>
          <t>Hours auto-approved; count toward their total/medals.</t>
        </is>
      </c>
      <c r="E83" s="28" t="n"/>
      <c r="F83" s="27" t="n"/>
      <c r="G83" s="28" t="n"/>
    </row>
    <row r="84" ht="42" customHeight="1">
      <c r="A84" s="26" t="inlineStr">
        <is>
          <t>AD7</t>
        </is>
      </c>
      <c r="B84" s="27" t="inlineStr">
        <is>
          <t>As an Admin, I want a participant's service record.</t>
        </is>
      </c>
      <c r="C84" s="27" t="inlineStr">
        <is>
          <t>Users → Service record for a participant in your org.</t>
        </is>
      </c>
      <c r="D84" s="27" t="inlineStr">
        <is>
          <t>Record opens.</t>
        </is>
      </c>
      <c r="E84" s="28" t="n"/>
      <c r="F84" s="27" t="n"/>
      <c r="G84" s="28" t="n"/>
    </row>
    <row r="85" ht="42" customHeight="1">
      <c r="A85" s="26" t="inlineStr">
        <is>
          <t>AD8</t>
        </is>
      </c>
      <c r="B85" s="27" t="inlineStr">
        <is>
          <t>As an Admin, I want to edit/delete my org's users.</t>
        </is>
      </c>
      <c r="C85" s="27" t="inlineStr">
        <is>
          <t>Edit a name/phone; delete a test user.</t>
        </is>
      </c>
      <c r="D85" s="27" t="inlineStr">
        <is>
          <t>Changes apply within your org.</t>
        </is>
      </c>
      <c r="E85" s="28" t="n"/>
      <c r="F85" s="27" t="n"/>
      <c r="G85" s="28" t="n"/>
    </row>
    <row r="86" ht="42" customHeight="1">
      <c r="A86" s="26" t="inlineStr">
        <is>
          <t>AD9</t>
        </is>
      </c>
      <c r="B86" s="27" t="inlineStr">
        <is>
          <t>As an Admin, I must NOT act on users outside my org.</t>
        </is>
      </c>
      <c r="C86" s="27" t="inlineStr">
        <is>
          <t>Attempt to reach another org's user (e.g. direct URL).</t>
        </is>
      </c>
      <c r="D86" s="27" t="inlineStr">
        <is>
          <t>Blocked / not visible.</t>
        </is>
      </c>
      <c r="E86" s="28" t="n"/>
      <c r="F86" s="27" t="n"/>
      <c r="G86" s="28" t="n"/>
    </row>
    <row r="87" ht="42" customHeight="1">
      <c r="A87" s="26" t="inlineStr">
        <is>
          <t>AD10</t>
        </is>
      </c>
      <c r="B87" s="27" t="inlineStr">
        <is>
          <t>As an Admin, I cannot grant Admin access or manage admins.</t>
        </is>
      </c>
      <c r="C87" s="27" t="inlineStr">
        <is>
          <t>Look for the 'grant Admin access' action.</t>
        </is>
      </c>
      <c r="D87" s="27" t="inlineStr">
        <is>
          <t>No such button; attempts are blocked server-side.</t>
        </is>
      </c>
      <c r="E87" s="28" t="n"/>
      <c r="F87" s="27" t="n"/>
      <c r="G87" s="28" t="n"/>
    </row>
    <row r="88" ht="42" customHeight="1">
      <c r="A88" s="26" t="inlineStr">
        <is>
          <t>AD11</t>
        </is>
      </c>
      <c r="B88" s="27" t="inlineStr">
        <is>
          <t>As an Admin, I see and edit only my own organization.</t>
        </is>
      </c>
      <c r="C88" s="27" t="inlineStr">
        <is>
          <t>Open Organizations.</t>
        </is>
      </c>
      <c r="D88" s="27" t="inlineStr">
        <is>
          <t>Only your org shows; you can edit its settings.</t>
        </is>
      </c>
      <c r="E88" s="28" t="n"/>
      <c r="F88" s="27" t="n"/>
      <c r="G88" s="28" t="n"/>
    </row>
    <row r="89" ht="42" customHeight="1">
      <c r="A89" s="26" t="inlineStr">
        <is>
          <t>AD12</t>
        </is>
      </c>
      <c r="B89" s="27" t="inlineStr">
        <is>
          <t>As an Admin, I want to generate/rotate my org's join code.</t>
        </is>
      </c>
      <c r="C89" s="27" t="inlineStr">
        <is>
          <t>Organizations → set/generate a join code → save.</t>
        </is>
      </c>
      <c r="D89" s="27" t="inlineStr">
        <is>
          <t>Join code saved; usable at sign-up.</t>
        </is>
      </c>
      <c r="E89" s="28" t="n"/>
      <c r="F89" s="27" t="n"/>
      <c r="G89" s="28" t="n"/>
    </row>
    <row r="90" ht="42" customHeight="1">
      <c r="A90" s="26" t="inlineStr">
        <is>
          <t>AD13</t>
        </is>
      </c>
      <c r="B90" s="27" t="inlineStr">
        <is>
          <t>As an Admin, I cannot create organizations.</t>
        </is>
      </c>
      <c r="C90" s="27" t="inlineStr">
        <is>
          <t>Look for 'Add organization'.</t>
        </is>
      </c>
      <c r="D90" s="27" t="inlineStr">
        <is>
          <t>No Add button; creation blocked.</t>
        </is>
      </c>
      <c r="E90" s="28" t="n"/>
      <c r="F90" s="27" t="n"/>
      <c r="G90" s="28" t="n"/>
    </row>
    <row r="91" ht="42" customHeight="1">
      <c r="A91" s="26" t="inlineStr">
        <is>
          <t>AD14</t>
        </is>
      </c>
      <c r="B91" s="27" t="inlineStr">
        <is>
          <t>As an Admin, I cannot change the recycling cans total.</t>
        </is>
      </c>
      <c r="C91" s="27" t="inlineStr">
        <is>
          <t>Look for the cans/bin admin control.</t>
        </is>
      </c>
      <c r="D91" s="27" t="inlineStr">
        <is>
          <t>Not available (Super Admin only).</t>
        </is>
      </c>
      <c r="E91" s="28" t="n"/>
      <c r="F91" s="27" t="n"/>
      <c r="G91" s="28" t="n"/>
    </row>
    <row r="92" ht="20" customHeight="1">
      <c r="A92" s="24" t="inlineStr">
        <is>
          <t>Super Admin (global)</t>
        </is>
      </c>
      <c r="B92" s="25" t="n"/>
      <c r="C92" s="25" t="n"/>
      <c r="D92" s="25" t="n"/>
      <c r="E92" s="25" t="n"/>
      <c r="F92" s="25" t="n"/>
      <c r="G92" s="25" t="n"/>
    </row>
    <row r="93" ht="42" customHeight="1">
      <c r="A93" s="26" t="inlineStr">
        <is>
          <t>SA1</t>
        </is>
      </c>
      <c r="B93" s="27" t="inlineStr">
        <is>
          <t>As a Super Admin, I want the correct menu tabs.</t>
        </is>
      </c>
      <c r="C93" s="27" t="inlineStr">
        <is>
          <t>Look at the left menu.</t>
        </is>
      </c>
      <c r="D93" s="27" t="inlineStr">
        <is>
          <t>Dashboard, Reports, Users, Events, Organizations (Help in footer).</t>
        </is>
      </c>
      <c r="E93" s="28" t="n"/>
      <c r="F93" s="27" t="n"/>
      <c r="G93" s="28" t="n"/>
    </row>
    <row r="94" ht="42" customHeight="1">
      <c r="A94" s="26" t="inlineStr">
        <is>
          <t>SA2</t>
        </is>
      </c>
      <c r="B94" s="27" t="inlineStr">
        <is>
          <t>As a Super Admin, I can do everything an Admin can, across all orgs.</t>
        </is>
      </c>
      <c r="C94" s="27" t="inlineStr">
        <is>
          <t>Spot-check user + org actions on more than one org.</t>
        </is>
      </c>
      <c r="D94" s="27" t="inlineStr">
        <is>
          <t>All allowed regardless of org.</t>
        </is>
      </c>
      <c r="E94" s="28" t="n"/>
      <c r="F94" s="27" t="n"/>
      <c r="G94" s="28" t="n"/>
    </row>
    <row r="95" ht="42" customHeight="1">
      <c r="A95" s="26" t="inlineStr">
        <is>
          <t>SA3</t>
        </is>
      </c>
      <c r="B95" s="27" t="inlineStr">
        <is>
          <t>As a Super Admin, I want to create users incl. Supervisor and Super Admin.</t>
        </is>
      </c>
      <c r="C95" s="27" t="inlineStr">
        <is>
          <t>Users → Add user → each role.</t>
        </is>
      </c>
      <c r="D95" s="27" t="inlineStr">
        <is>
          <t>Participant/Supervisor/Super Admin options available; account created + invite email.</t>
        </is>
      </c>
      <c r="E95" s="28" t="n"/>
      <c r="F95" s="27" t="n"/>
      <c r="G95" s="28" t="n"/>
    </row>
    <row r="96" ht="42" customHeight="1">
      <c r="A96" s="26" t="inlineStr">
        <is>
          <t>SA4</t>
        </is>
      </c>
      <c r="B96" s="27" t="inlineStr">
        <is>
          <t>As a Super Admin, I want to grant/revoke Admin access.</t>
        </is>
      </c>
      <c r="C96" s="27" t="inlineStr">
        <is>
          <t>Open a user → grant Admin access → check org(s) → save; then uncheck all → save.</t>
        </is>
      </c>
      <c r="D96" s="27" t="inlineStr">
        <is>
          <t>Checking orgs makes an Admin; unchecking all reverts to participant.</t>
        </is>
      </c>
      <c r="E96" s="28" t="n"/>
      <c r="F96" s="27" t="n"/>
      <c r="G96" s="28" t="n"/>
    </row>
    <row r="97" ht="42" customHeight="1">
      <c r="A97" s="26" t="inlineStr">
        <is>
          <t>SA5</t>
        </is>
      </c>
      <c r="B97" s="27" t="inlineStr">
        <is>
          <t>As a Super Admin, I want to create organizations + join codes.</t>
        </is>
      </c>
      <c r="C97" s="27" t="inlineStr">
        <is>
          <t>Organizations → Add organization → set details + join code.</t>
        </is>
      </c>
      <c r="D97" s="27" t="inlineStr">
        <is>
          <t>Org created with its join code.</t>
        </is>
      </c>
      <c r="E97" s="28" t="n"/>
      <c r="F97" s="27" t="n"/>
      <c r="G97" s="28" t="n"/>
    </row>
    <row r="98" ht="42" customHeight="1">
      <c r="A98" s="26" t="inlineStr">
        <is>
          <t>SA6</t>
        </is>
      </c>
      <c r="B98" s="27" t="inlineStr">
        <is>
          <t>As a Super Admin, I want to find users by type.</t>
        </is>
      </c>
      <c r="C98" s="27" t="inlineStr">
        <is>
          <t>Users → role filter pills + search.</t>
        </is>
      </c>
      <c r="D98" s="27" t="inlineStr">
        <is>
          <t>Filter by role with counts; search by name/email across all orgs.</t>
        </is>
      </c>
      <c r="E98" s="28" t="n"/>
      <c r="F98" s="27" t="n"/>
      <c r="G98" s="28" t="n"/>
    </row>
    <row r="99" ht="42" customHeight="1">
      <c r="A99" s="26" t="inlineStr">
        <is>
          <t>SA7</t>
        </is>
      </c>
      <c r="B99" s="27" t="inlineStr">
        <is>
          <t>As a Super Admin, I want to search events.</t>
        </is>
      </c>
      <c r="C99" s="27" t="inlineStr">
        <is>
          <t>Events → search + date range; check supervisor/org per card.</t>
        </is>
      </c>
      <c r="D99" s="27" t="inlineStr">
        <is>
          <t>Filters work; each event shows supervisor and organization.</t>
        </is>
      </c>
      <c r="E99" s="28" t="n"/>
      <c r="F99" s="27" t="n"/>
      <c r="G99" s="28" t="n"/>
    </row>
    <row r="100" ht="42" customHeight="1">
      <c r="A100" s="26" t="inlineStr">
        <is>
          <t>SA8</t>
        </is>
      </c>
      <c r="B100" s="27" t="inlineStr">
        <is>
          <t>As a Super Admin, I want clear event-visibility labels.</t>
        </is>
      </c>
      <c r="C100" s="27" t="inlineStr">
        <is>
          <t>New Event → 'Who can see this'.</t>
        </is>
      </c>
      <c r="D100" s="27" t="inlineStr">
        <is>
          <t>'Open to all (community)' and 'Only &lt;org&gt; students' with helper text.</t>
        </is>
      </c>
      <c r="E100" s="28" t="n"/>
      <c r="F100" s="27" t="n"/>
      <c r="G100" s="28" t="n"/>
    </row>
    <row r="101" ht="42" customHeight="1">
      <c r="A101" s="26" t="inlineStr">
        <is>
          <t>SA9</t>
        </is>
      </c>
      <c r="B101" s="27" t="inlineStr">
        <is>
          <t>As a Super Admin, I want program-wide reports.</t>
        </is>
      </c>
      <c r="C101" s="27" t="inlineStr">
        <is>
          <t>Open Reports / Dashboard.</t>
        </is>
      </c>
      <c r="D101" s="27" t="inlineStr">
        <is>
          <t>Totals and charts across the whole program.</t>
        </is>
      </c>
      <c r="E101" s="28" t="n"/>
      <c r="F101" s="27" t="n"/>
      <c r="G101" s="28" t="n"/>
    </row>
    <row r="102" ht="42" customHeight="1">
      <c r="A102" s="26" t="inlineStr">
        <is>
          <t>SA10</t>
        </is>
      </c>
      <c r="B102" s="27" t="inlineStr">
        <is>
          <t>As a Super Admin, I want to verify email works.</t>
        </is>
      </c>
      <c r="C102" s="27" t="inlineStr">
        <is>
          <t>Dashboard → Send test email.</t>
        </is>
      </c>
      <c r="D102" s="27" t="inlineStr">
        <is>
          <t>Result shown (success or the exact failure reason).</t>
        </is>
      </c>
      <c r="E102" s="28" t="n"/>
      <c r="F102" s="27" t="n"/>
      <c r="G102" s="28" t="n"/>
    </row>
    <row r="103" ht="42" customHeight="1">
      <c r="A103" s="26" t="inlineStr">
        <is>
          <t>SA11</t>
        </is>
      </c>
      <c r="B103" s="27" t="inlineStr">
        <is>
          <t>As a Super Admin, I want to update the recycling cans total.</t>
        </is>
      </c>
      <c r="C103" s="27" t="inlineStr">
        <is>
          <t>Use the cans/bin admin control.</t>
        </is>
      </c>
      <c r="D103" s="27" t="inlineStr">
        <is>
          <t>Total updates; the ribbon reflects it.</t>
        </is>
      </c>
      <c r="E103" s="28" t="n"/>
      <c r="F103" s="27" t="n"/>
      <c r="G103" s="28" t="n"/>
    </row>
    <row r="104" ht="42" customHeight="1">
      <c r="A104" s="26" t="inlineStr">
        <is>
          <t>SA12</t>
        </is>
      </c>
      <c r="B104" s="27" t="inlineStr">
        <is>
          <t>As a Super Admin, I want hours + records for any user.</t>
        </is>
      </c>
      <c r="C104" s="27" t="inlineStr">
        <is>
          <t>Add manual hours / open service record for any participant.</t>
        </is>
      </c>
      <c r="D104" s="27" t="inlineStr">
        <is>
          <t>Works for any org.</t>
        </is>
      </c>
      <c r="E104" s="28" t="n"/>
      <c r="F104" s="27" t="n"/>
      <c r="G104" s="28" t="n"/>
    </row>
    <row r="105" ht="20" customHeight="1">
      <c r="A105" s="24" t="inlineStr">
        <is>
          <t>Cross-cutting</t>
        </is>
      </c>
      <c r="B105" s="25" t="n"/>
      <c r="C105" s="25" t="n"/>
      <c r="D105" s="25" t="n"/>
      <c r="E105" s="25" t="n"/>
      <c r="F105" s="25" t="n"/>
      <c r="G105" s="25" t="n"/>
    </row>
    <row r="106" ht="42" customHeight="1">
      <c r="A106" s="26" t="inlineStr">
        <is>
          <t>X1</t>
        </is>
      </c>
      <c r="B106" s="27" t="inlineStr">
        <is>
          <t>As a phone user, I want a usable mobile layout.</t>
        </is>
      </c>
      <c r="C106" s="27" t="inlineStr">
        <is>
          <t>Open at phone width; use the menu drawer.</t>
        </is>
      </c>
      <c r="D106" s="27" t="inlineStr">
        <is>
          <t>Layout adapts; drawer opens/closes; no horizontal scroll.</t>
        </is>
      </c>
      <c r="E106" s="28" t="n"/>
      <c r="F106" s="27" t="n"/>
      <c r="G106" s="28" t="n"/>
    </row>
    <row r="107" ht="42" customHeight="1">
      <c r="A107" s="26" t="inlineStr">
        <is>
          <t>X2</t>
        </is>
      </c>
      <c r="B107" s="27" t="inlineStr">
        <is>
          <t>As a visitor, I want the recycling ribbon on the login page.</t>
        </is>
      </c>
      <c r="C107" s="27" t="inlineStr">
        <is>
          <t>Open login signed out.</t>
        </is>
      </c>
      <c r="D107" s="27" t="inlineStr">
        <is>
          <t>Green ribbon shows on login.</t>
        </is>
      </c>
      <c r="E107" s="28" t="n"/>
      <c r="F107" s="27" t="n"/>
      <c r="G107" s="28" t="n"/>
    </row>
  </sheetData>
  <mergeCells count="9">
    <mergeCell ref="A1:G1"/>
    <mergeCell ref="A3:G3"/>
    <mergeCell ref="A77:G77"/>
    <mergeCell ref="A105:G105"/>
    <mergeCell ref="A35:G35"/>
    <mergeCell ref="A92:G92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8:E91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3:E10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6:E10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6 E78:E91 E93:E104 E106:E10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I want to enter an organization code during sign-up.</t>
        </is>
      </c>
      <c r="C12" s="27" t="inlineStr">
        <is>
          <t>Enter a code in the Organization code field (optional) and submit.</t>
        </is>
      </c>
      <c r="D12" s="27" t="inlineStr">
        <is>
          <t>A valid code enrolls me in that org; a bad code is rejected; blank is allowed.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20" customHeight="1">
      <c r="A77" s="24" t="inlineStr">
        <is>
          <t>Admin (org-scoped)</t>
        </is>
      </c>
      <c r="B77" s="25" t="n"/>
      <c r="C77" s="25" t="n"/>
      <c r="D77" s="25" t="n"/>
      <c r="E77" s="25" t="n"/>
      <c r="F77" s="25" t="n"/>
      <c r="G77" s="25" t="n"/>
    </row>
    <row r="78" ht="42" customHeight="1">
      <c r="A78" s="26" t="inlineStr">
        <is>
          <t>AD1</t>
        </is>
      </c>
      <c r="B78" s="27" t="inlineStr">
        <is>
          <t>As an Admin, I want the correct menu tabs.</t>
        </is>
      </c>
      <c r="C78" s="27" t="inlineStr">
        <is>
          <t>Look at the left menu.</t>
        </is>
      </c>
      <c r="D78" s="27" t="inlineStr">
        <is>
          <t>Dashboard, Pending Reviews, Reviewed History, My Events, All Opportunities, Users, Organizations, My Hours, Help.</t>
        </is>
      </c>
      <c r="E78" s="28" t="n"/>
      <c r="F78" s="27" t="n"/>
      <c r="G78" s="28" t="n"/>
    </row>
    <row r="79" ht="42" customHeight="1">
      <c r="A79" s="26" t="inlineStr">
        <is>
          <t>AD2</t>
        </is>
      </c>
      <c r="B79" s="27" t="inlineStr">
        <is>
          <t>As an Admin, I can do everything a supervisor can.</t>
        </is>
      </c>
      <c r="C79" s="27" t="inlineStr">
        <is>
          <t>Spot-check: approve an item and create an event.</t>
        </is>
      </c>
      <c r="D79" s="27" t="inlineStr">
        <is>
          <t>Both work.</t>
        </is>
      </c>
      <c r="E79" s="28" t="n"/>
      <c r="F79" s="27" t="n"/>
      <c r="G79" s="28" t="n"/>
    </row>
    <row r="80" ht="42" customHeight="1">
      <c r="A80" s="26" t="inlineStr">
        <is>
          <t>AD3</t>
        </is>
      </c>
      <c r="B80" s="27" t="inlineStr">
        <is>
          <t>As an Admin, I only see my org's non-admin users.</t>
        </is>
      </c>
      <c r="C80" s="27" t="inlineStr">
        <is>
          <t>Open Users.</t>
        </is>
      </c>
      <c r="D80" s="27" t="inlineStr">
        <is>
          <t>Only participants/parents/supervisors in your org; no admins/super admins; no other orgs.</t>
        </is>
      </c>
      <c r="E80" s="28" t="n"/>
      <c r="F80" s="27" t="n"/>
      <c r="G80" s="28" t="n"/>
    </row>
    <row r="81" ht="42" customHeight="1">
      <c r="A81" s="26" t="inlineStr">
        <is>
          <t>AD4</t>
        </is>
      </c>
      <c r="B81" s="27" t="inlineStr">
        <is>
          <t>As an Admin, I want to add a supervisor.</t>
        </is>
      </c>
      <c r="C81" s="27" t="inlineStr">
        <is>
          <t>Users → Add user → Supervisor → save.</t>
        </is>
      </c>
      <c r="D81" s="27" t="inlineStr">
        <is>
          <t>Supervisor created, stamped to your org; invite email sent.</t>
        </is>
      </c>
      <c r="E81" s="28" t="n"/>
      <c r="F81" s="27" t="n"/>
      <c r="G81" s="28" t="n"/>
    </row>
    <row r="82" ht="42" customHeight="1">
      <c r="A82" s="26" t="inlineStr">
        <is>
          <t>AD5</t>
        </is>
      </c>
      <c r="B82" s="27" t="inlineStr">
        <is>
          <t>As an Admin, I want to create a participant as a fallback.</t>
        </is>
      </c>
      <c r="C82" s="27" t="inlineStr">
        <is>
          <t>Users → Add user → Participant → save.</t>
        </is>
      </c>
      <c r="D82" s="27" t="inlineStr">
        <is>
          <t>Participant created with a set-password invite (no silent password).</t>
        </is>
      </c>
      <c r="E82" s="28" t="n"/>
      <c r="F82" s="27" t="n"/>
      <c r="G82" s="28" t="n"/>
    </row>
    <row r="83" ht="42" customHeight="1">
      <c r="A83" s="26" t="inlineStr">
        <is>
          <t>AD6</t>
        </is>
      </c>
      <c r="B83" s="27" t="inlineStr">
        <is>
          <t>As an Admin, I want to grant participant hours.</t>
        </is>
      </c>
      <c r="C83" s="27" t="inlineStr">
        <is>
          <t>Open a participant in your org → Add hours.</t>
        </is>
      </c>
      <c r="D83" s="27" t="inlineStr">
        <is>
          <t>Hours auto-approved; count toward their total/medals.</t>
        </is>
      </c>
      <c r="E83" s="28" t="n"/>
      <c r="F83" s="27" t="n"/>
      <c r="G83" s="28" t="n"/>
    </row>
    <row r="84" ht="42" customHeight="1">
      <c r="A84" s="26" t="inlineStr">
        <is>
          <t>AD7</t>
        </is>
      </c>
      <c r="B84" s="27" t="inlineStr">
        <is>
          <t>As an Admin, I want a participant's service record.</t>
        </is>
      </c>
      <c r="C84" s="27" t="inlineStr">
        <is>
          <t>Users → Service record for a participant in your org.</t>
        </is>
      </c>
      <c r="D84" s="27" t="inlineStr">
        <is>
          <t>Record opens.</t>
        </is>
      </c>
      <c r="E84" s="28" t="n"/>
      <c r="F84" s="27" t="n"/>
      <c r="G84" s="28" t="n"/>
    </row>
    <row r="85" ht="42" customHeight="1">
      <c r="A85" s="26" t="inlineStr">
        <is>
          <t>AD8</t>
        </is>
      </c>
      <c r="B85" s="27" t="inlineStr">
        <is>
          <t>As an Admin, I want to edit/delete my org's users.</t>
        </is>
      </c>
      <c r="C85" s="27" t="inlineStr">
        <is>
          <t>Edit a name/phone; delete a test user.</t>
        </is>
      </c>
      <c r="D85" s="27" t="inlineStr">
        <is>
          <t>Changes apply within your org.</t>
        </is>
      </c>
      <c r="E85" s="28" t="n"/>
      <c r="F85" s="27" t="n"/>
      <c r="G85" s="28" t="n"/>
    </row>
    <row r="86" ht="42" customHeight="1">
      <c r="A86" s="26" t="inlineStr">
        <is>
          <t>AD9</t>
        </is>
      </c>
      <c r="B86" s="27" t="inlineStr">
        <is>
          <t>As an Admin, I must NOT act on users outside my org.</t>
        </is>
      </c>
      <c r="C86" s="27" t="inlineStr">
        <is>
          <t>Attempt to reach another org's user (e.g. direct URL).</t>
        </is>
      </c>
      <c r="D86" s="27" t="inlineStr">
        <is>
          <t>Blocked / not visible.</t>
        </is>
      </c>
      <c r="E86" s="28" t="n"/>
      <c r="F86" s="27" t="n"/>
      <c r="G86" s="28" t="n"/>
    </row>
    <row r="87" ht="42" customHeight="1">
      <c r="A87" s="26" t="inlineStr">
        <is>
          <t>AD10</t>
        </is>
      </c>
      <c r="B87" s="27" t="inlineStr">
        <is>
          <t>As an Admin, I cannot grant Admin access or manage admins.</t>
        </is>
      </c>
      <c r="C87" s="27" t="inlineStr">
        <is>
          <t>Look for the 'grant Admin access' action.</t>
        </is>
      </c>
      <c r="D87" s="27" t="inlineStr">
        <is>
          <t>No such button; attempts are blocked server-side.</t>
        </is>
      </c>
      <c r="E87" s="28" t="n"/>
      <c r="F87" s="27" t="n"/>
      <c r="G87" s="28" t="n"/>
    </row>
    <row r="88" ht="42" customHeight="1">
      <c r="A88" s="26" t="inlineStr">
        <is>
          <t>AD11</t>
        </is>
      </c>
      <c r="B88" s="27" t="inlineStr">
        <is>
          <t>As an Admin, I see and edit only my own organization.</t>
        </is>
      </c>
      <c r="C88" s="27" t="inlineStr">
        <is>
          <t>Open Organizations.</t>
        </is>
      </c>
      <c r="D88" s="27" t="inlineStr">
        <is>
          <t>Only your org shows; you can edit its settings.</t>
        </is>
      </c>
      <c r="E88" s="28" t="n"/>
      <c r="F88" s="27" t="n"/>
      <c r="G88" s="28" t="n"/>
    </row>
    <row r="89" ht="42" customHeight="1">
      <c r="A89" s="26" t="inlineStr">
        <is>
          <t>AD12</t>
        </is>
      </c>
      <c r="B89" s="27" t="inlineStr">
        <is>
          <t>As an Admin, I want to generate/rotate my org's join code.</t>
        </is>
      </c>
      <c r="C89" s="27" t="inlineStr">
        <is>
          <t>Organizations → set/generate a join code → save.</t>
        </is>
      </c>
      <c r="D89" s="27" t="inlineStr">
        <is>
          <t>Join code saved; usable at sign-up.</t>
        </is>
      </c>
      <c r="E89" s="28" t="n"/>
      <c r="F89" s="27" t="n"/>
      <c r="G89" s="28" t="n"/>
    </row>
    <row r="90" ht="42" customHeight="1">
      <c r="A90" s="26" t="inlineStr">
        <is>
          <t>AD13</t>
        </is>
      </c>
      <c r="B90" s="27" t="inlineStr">
        <is>
          <t>As an Admin, I cannot create organizations.</t>
        </is>
      </c>
      <c r="C90" s="27" t="inlineStr">
        <is>
          <t>Look for 'Add organization'.</t>
        </is>
      </c>
      <c r="D90" s="27" t="inlineStr">
        <is>
          <t>No Add button; creation blocked.</t>
        </is>
      </c>
      <c r="E90" s="28" t="n"/>
      <c r="F90" s="27" t="n"/>
      <c r="G90" s="28" t="n"/>
    </row>
    <row r="91" ht="42" customHeight="1">
      <c r="A91" s="26" t="inlineStr">
        <is>
          <t>AD14</t>
        </is>
      </c>
      <c r="B91" s="27" t="inlineStr">
        <is>
          <t>As an Admin, I cannot change the recycling cans total.</t>
        </is>
      </c>
      <c r="C91" s="27" t="inlineStr">
        <is>
          <t>Look for the cans/bin admin control.</t>
        </is>
      </c>
      <c r="D91" s="27" t="inlineStr">
        <is>
          <t>Not available (Super Admin only).</t>
        </is>
      </c>
      <c r="E91" s="28" t="n"/>
      <c r="F91" s="27" t="n"/>
      <c r="G91" s="28" t="n"/>
    </row>
    <row r="92" ht="20" customHeight="1">
      <c r="A92" s="24" t="inlineStr">
        <is>
          <t>Super Admin (global)</t>
        </is>
      </c>
      <c r="B92" s="25" t="n"/>
      <c r="C92" s="25" t="n"/>
      <c r="D92" s="25" t="n"/>
      <c r="E92" s="25" t="n"/>
      <c r="F92" s="25" t="n"/>
      <c r="G92" s="25" t="n"/>
    </row>
    <row r="93" ht="42" customHeight="1">
      <c r="A93" s="26" t="inlineStr">
        <is>
          <t>SA1</t>
        </is>
      </c>
      <c r="B93" s="27" t="inlineStr">
        <is>
          <t>As a Super Admin, I want the correct menu tabs.</t>
        </is>
      </c>
      <c r="C93" s="27" t="inlineStr">
        <is>
          <t>Look at the left menu.</t>
        </is>
      </c>
      <c r="D93" s="27" t="inlineStr">
        <is>
          <t>Dashboard, Reports, Users, Events, Organizations (Help in footer).</t>
        </is>
      </c>
      <c r="E93" s="28" t="n"/>
      <c r="F93" s="27" t="n"/>
      <c r="G93" s="28" t="n"/>
    </row>
    <row r="94" ht="42" customHeight="1">
      <c r="A94" s="26" t="inlineStr">
        <is>
          <t>SA2</t>
        </is>
      </c>
      <c r="B94" s="27" t="inlineStr">
        <is>
          <t>As a Super Admin, I can do everything an Admin can, across all orgs.</t>
        </is>
      </c>
      <c r="C94" s="27" t="inlineStr">
        <is>
          <t>Spot-check user + org actions on more than one org.</t>
        </is>
      </c>
      <c r="D94" s="27" t="inlineStr">
        <is>
          <t>All allowed regardless of org.</t>
        </is>
      </c>
      <c r="E94" s="28" t="n"/>
      <c r="F94" s="27" t="n"/>
      <c r="G94" s="28" t="n"/>
    </row>
    <row r="95" ht="42" customHeight="1">
      <c r="A95" s="26" t="inlineStr">
        <is>
          <t>SA3</t>
        </is>
      </c>
      <c r="B95" s="27" t="inlineStr">
        <is>
          <t>As a Super Admin, I want to create users incl. Supervisor and Super Admin.</t>
        </is>
      </c>
      <c r="C95" s="27" t="inlineStr">
        <is>
          <t>Users → Add user → each role.</t>
        </is>
      </c>
      <c r="D95" s="27" t="inlineStr">
        <is>
          <t>Participant/Supervisor/Super Admin options available; account created + invite email.</t>
        </is>
      </c>
      <c r="E95" s="28" t="n"/>
      <c r="F95" s="27" t="n"/>
      <c r="G95" s="28" t="n"/>
    </row>
    <row r="96" ht="42" customHeight="1">
      <c r="A96" s="26" t="inlineStr">
        <is>
          <t>SA4</t>
        </is>
      </c>
      <c r="B96" s="27" t="inlineStr">
        <is>
          <t>As a Super Admin, I want to grant/revoke Admin access.</t>
        </is>
      </c>
      <c r="C96" s="27" t="inlineStr">
        <is>
          <t>Open a user → grant Admin access → check org(s) → save; then uncheck all → save.</t>
        </is>
      </c>
      <c r="D96" s="27" t="inlineStr">
        <is>
          <t>Checking orgs makes an Admin; unchecking all reverts to participant.</t>
        </is>
      </c>
      <c r="E96" s="28" t="n"/>
      <c r="F96" s="27" t="n"/>
      <c r="G96" s="28" t="n"/>
    </row>
    <row r="97" ht="42" customHeight="1">
      <c r="A97" s="26" t="inlineStr">
        <is>
          <t>SA5</t>
        </is>
      </c>
      <c r="B97" s="27" t="inlineStr">
        <is>
          <t>As a Super Admin, I want to create organizations + join codes.</t>
        </is>
      </c>
      <c r="C97" s="27" t="inlineStr">
        <is>
          <t>Organizations → Add organization → set details + join code.</t>
        </is>
      </c>
      <c r="D97" s="27" t="inlineStr">
        <is>
          <t>Org created with its join code.</t>
        </is>
      </c>
      <c r="E97" s="28" t="n"/>
      <c r="F97" s="27" t="n"/>
      <c r="G97" s="28" t="n"/>
    </row>
    <row r="98" ht="42" customHeight="1">
      <c r="A98" s="26" t="inlineStr">
        <is>
          <t>SA6</t>
        </is>
      </c>
      <c r="B98" s="27" t="inlineStr">
        <is>
          <t>As a Super Admin, I want to find users by type.</t>
        </is>
      </c>
      <c r="C98" s="27" t="inlineStr">
        <is>
          <t>Users → role filter pills + search.</t>
        </is>
      </c>
      <c r="D98" s="27" t="inlineStr">
        <is>
          <t>Filter by role with counts; search by name/email across all orgs.</t>
        </is>
      </c>
      <c r="E98" s="28" t="n"/>
      <c r="F98" s="27" t="n"/>
      <c r="G98" s="28" t="n"/>
    </row>
    <row r="99" ht="42" customHeight="1">
      <c r="A99" s="26" t="inlineStr">
        <is>
          <t>SA7</t>
        </is>
      </c>
      <c r="B99" s="27" t="inlineStr">
        <is>
          <t>As a Super Admin, I want to search events.</t>
        </is>
      </c>
      <c r="C99" s="27" t="inlineStr">
        <is>
          <t>Events → search + date range; check supervisor/org per card.</t>
        </is>
      </c>
      <c r="D99" s="27" t="inlineStr">
        <is>
          <t>Filters work; each event shows supervisor and organization.</t>
        </is>
      </c>
      <c r="E99" s="28" t="n"/>
      <c r="F99" s="27" t="n"/>
      <c r="G99" s="28" t="n"/>
    </row>
    <row r="100" ht="42" customHeight="1">
      <c r="A100" s="26" t="inlineStr">
        <is>
          <t>SA8</t>
        </is>
      </c>
      <c r="B100" s="27" t="inlineStr">
        <is>
          <t>As a Super Admin, I want clear event-visibility labels.</t>
        </is>
      </c>
      <c r="C100" s="27" t="inlineStr">
        <is>
          <t>New Event → 'Who can see this'.</t>
        </is>
      </c>
      <c r="D100" s="27" t="inlineStr">
        <is>
          <t>'Open to all (community)' and 'Only &lt;org&gt; students' with helper text.</t>
        </is>
      </c>
      <c r="E100" s="28" t="n"/>
      <c r="F100" s="27" t="n"/>
      <c r="G100" s="28" t="n"/>
    </row>
    <row r="101" ht="42" customHeight="1">
      <c r="A101" s="26" t="inlineStr">
        <is>
          <t>SA9</t>
        </is>
      </c>
      <c r="B101" s="27" t="inlineStr">
        <is>
          <t>As a Super Admin, I want program-wide reports.</t>
        </is>
      </c>
      <c r="C101" s="27" t="inlineStr">
        <is>
          <t>Open Reports / Dashboard.</t>
        </is>
      </c>
      <c r="D101" s="27" t="inlineStr">
        <is>
          <t>Totals and charts across the whole program.</t>
        </is>
      </c>
      <c r="E101" s="28" t="n"/>
      <c r="F101" s="27" t="n"/>
      <c r="G101" s="28" t="n"/>
    </row>
    <row r="102" ht="42" customHeight="1">
      <c r="A102" s="26" t="inlineStr">
        <is>
          <t>SA10</t>
        </is>
      </c>
      <c r="B102" s="27" t="inlineStr">
        <is>
          <t>As a Super Admin, I want to verify email works.</t>
        </is>
      </c>
      <c r="C102" s="27" t="inlineStr">
        <is>
          <t>Dashboard → Send test email.</t>
        </is>
      </c>
      <c r="D102" s="27" t="inlineStr">
        <is>
          <t>Result shown (success or the exact failure reason).</t>
        </is>
      </c>
      <c r="E102" s="28" t="n"/>
      <c r="F102" s="27" t="n"/>
      <c r="G102" s="28" t="n"/>
    </row>
    <row r="103" ht="42" customHeight="1">
      <c r="A103" s="26" t="inlineStr">
        <is>
          <t>SA11</t>
        </is>
      </c>
      <c r="B103" s="27" t="inlineStr">
        <is>
          <t>As a Super Admin, I want to update the recycling cans total.</t>
        </is>
      </c>
      <c r="C103" s="27" t="inlineStr">
        <is>
          <t>Use the cans/bin admin control.</t>
        </is>
      </c>
      <c r="D103" s="27" t="inlineStr">
        <is>
          <t>Total updates; the ribbon reflects it.</t>
        </is>
      </c>
      <c r="E103" s="28" t="n"/>
      <c r="F103" s="27" t="n"/>
      <c r="G103" s="28" t="n"/>
    </row>
    <row r="104" ht="42" customHeight="1">
      <c r="A104" s="26" t="inlineStr">
        <is>
          <t>SA12</t>
        </is>
      </c>
      <c r="B104" s="27" t="inlineStr">
        <is>
          <t>As a Super Admin, I want hours + records for any user.</t>
        </is>
      </c>
      <c r="C104" s="27" t="inlineStr">
        <is>
          <t>Add manual hours / open service record for any participant.</t>
        </is>
      </c>
      <c r="D104" s="27" t="inlineStr">
        <is>
          <t>Works for any org.</t>
        </is>
      </c>
      <c r="E104" s="28" t="n"/>
      <c r="F104" s="27" t="n"/>
      <c r="G104" s="28" t="n"/>
    </row>
    <row r="105" ht="20" customHeight="1">
      <c r="A105" s="24" t="inlineStr">
        <is>
          <t>Cross-cutting</t>
        </is>
      </c>
      <c r="B105" s="25" t="n"/>
      <c r="C105" s="25" t="n"/>
      <c r="D105" s="25" t="n"/>
      <c r="E105" s="25" t="n"/>
      <c r="F105" s="25" t="n"/>
      <c r="G105" s="25" t="n"/>
    </row>
    <row r="106" ht="42" customHeight="1">
      <c r="A106" s="26" t="inlineStr">
        <is>
          <t>X1</t>
        </is>
      </c>
      <c r="B106" s="27" t="inlineStr">
        <is>
          <t>As a phone user, I want a usable mobile layout.</t>
        </is>
      </c>
      <c r="C106" s="27" t="inlineStr">
        <is>
          <t>Open at phone width; use the menu drawer.</t>
        </is>
      </c>
      <c r="D106" s="27" t="inlineStr">
        <is>
          <t>Layout adapts; drawer opens/closes; no horizontal scroll.</t>
        </is>
      </c>
      <c r="E106" s="28" t="n"/>
      <c r="F106" s="27" t="n"/>
      <c r="G106" s="28" t="n"/>
    </row>
    <row r="107" ht="42" customHeight="1">
      <c r="A107" s="26" t="inlineStr">
        <is>
          <t>X2</t>
        </is>
      </c>
      <c r="B107" s="27" t="inlineStr">
        <is>
          <t>As a visitor, I want the recycling ribbon on the login page.</t>
        </is>
      </c>
      <c r="C107" s="27" t="inlineStr">
        <is>
          <t>Open login signed out.</t>
        </is>
      </c>
      <c r="D107" s="27" t="inlineStr">
        <is>
          <t>Green ribbon shows on login.</t>
        </is>
      </c>
      <c r="E107" s="28" t="n"/>
      <c r="F107" s="27" t="n"/>
      <c r="G107" s="28" t="n"/>
    </row>
  </sheetData>
  <mergeCells count="9">
    <mergeCell ref="A1:G1"/>
    <mergeCell ref="A3:G3"/>
    <mergeCell ref="A77:G77"/>
    <mergeCell ref="A105:G105"/>
    <mergeCell ref="A35:G35"/>
    <mergeCell ref="A92:G92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8:E91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3:E10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6:E10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6 E78:E91 E93:E104 E106:E10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I want to enter an organization code during sign-up.</t>
        </is>
      </c>
      <c r="C12" s="27" t="inlineStr">
        <is>
          <t>Enter a code in the Organization code field (optional) and submit.</t>
        </is>
      </c>
      <c r="D12" s="27" t="inlineStr">
        <is>
          <t>A valid code enrolls me in that org; a bad code is rejected; blank is allowed.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20" customHeight="1">
      <c r="A77" s="24" t="inlineStr">
        <is>
          <t>Admin (org-scoped)</t>
        </is>
      </c>
      <c r="B77" s="25" t="n"/>
      <c r="C77" s="25" t="n"/>
      <c r="D77" s="25" t="n"/>
      <c r="E77" s="25" t="n"/>
      <c r="F77" s="25" t="n"/>
      <c r="G77" s="25" t="n"/>
    </row>
    <row r="78" ht="42" customHeight="1">
      <c r="A78" s="26" t="inlineStr">
        <is>
          <t>AD1</t>
        </is>
      </c>
      <c r="B78" s="27" t="inlineStr">
        <is>
          <t>As an Admin, I want the correct menu tabs.</t>
        </is>
      </c>
      <c r="C78" s="27" t="inlineStr">
        <is>
          <t>Look at the left menu.</t>
        </is>
      </c>
      <c r="D78" s="27" t="inlineStr">
        <is>
          <t>Dashboard, Pending Reviews, Reviewed History, My Events, All Opportunities, Users, Organizations, My Hours, Help.</t>
        </is>
      </c>
      <c r="E78" s="28" t="n"/>
      <c r="F78" s="27" t="n"/>
      <c r="G78" s="28" t="n"/>
    </row>
    <row r="79" ht="42" customHeight="1">
      <c r="A79" s="26" t="inlineStr">
        <is>
          <t>AD2</t>
        </is>
      </c>
      <c r="B79" s="27" t="inlineStr">
        <is>
          <t>As an Admin, I can do everything a supervisor can.</t>
        </is>
      </c>
      <c r="C79" s="27" t="inlineStr">
        <is>
          <t>Spot-check: approve an item and create an event.</t>
        </is>
      </c>
      <c r="D79" s="27" t="inlineStr">
        <is>
          <t>Both work.</t>
        </is>
      </c>
      <c r="E79" s="28" t="n"/>
      <c r="F79" s="27" t="n"/>
      <c r="G79" s="28" t="n"/>
    </row>
    <row r="80" ht="42" customHeight="1">
      <c r="A80" s="26" t="inlineStr">
        <is>
          <t>AD3</t>
        </is>
      </c>
      <c r="B80" s="27" t="inlineStr">
        <is>
          <t>As an Admin, I only see my org's non-admin users.</t>
        </is>
      </c>
      <c r="C80" s="27" t="inlineStr">
        <is>
          <t>Open Users.</t>
        </is>
      </c>
      <c r="D80" s="27" t="inlineStr">
        <is>
          <t>Only participants/parents/supervisors in your org; no admins/super admins; no other orgs.</t>
        </is>
      </c>
      <c r="E80" s="28" t="n"/>
      <c r="F80" s="27" t="n"/>
      <c r="G80" s="28" t="n"/>
    </row>
    <row r="81" ht="42" customHeight="1">
      <c r="A81" s="26" t="inlineStr">
        <is>
          <t>AD4</t>
        </is>
      </c>
      <c r="B81" s="27" t="inlineStr">
        <is>
          <t>As an Admin, I want to add a supervisor.</t>
        </is>
      </c>
      <c r="C81" s="27" t="inlineStr">
        <is>
          <t>Users → Add user → Supervisor → save.</t>
        </is>
      </c>
      <c r="D81" s="27" t="inlineStr">
        <is>
          <t>Supervisor created, stamped to your org; invite email sent.</t>
        </is>
      </c>
      <c r="E81" s="28" t="n"/>
      <c r="F81" s="27" t="n"/>
      <c r="G81" s="28" t="n"/>
    </row>
    <row r="82" ht="42" customHeight="1">
      <c r="A82" s="26" t="inlineStr">
        <is>
          <t>AD5</t>
        </is>
      </c>
      <c r="B82" s="27" t="inlineStr">
        <is>
          <t>As an Admin, I want to create a participant as a fallback.</t>
        </is>
      </c>
      <c r="C82" s="27" t="inlineStr">
        <is>
          <t>Users → Add user → Participant → save.</t>
        </is>
      </c>
      <c r="D82" s="27" t="inlineStr">
        <is>
          <t>Participant created with a set-password invite (no silent password).</t>
        </is>
      </c>
      <c r="E82" s="28" t="n"/>
      <c r="F82" s="27" t="n"/>
      <c r="G82" s="28" t="n"/>
    </row>
    <row r="83" ht="42" customHeight="1">
      <c r="A83" s="26" t="inlineStr">
        <is>
          <t>AD6</t>
        </is>
      </c>
      <c r="B83" s="27" t="inlineStr">
        <is>
          <t>As an Admin, I want to grant participant hours.</t>
        </is>
      </c>
      <c r="C83" s="27" t="inlineStr">
        <is>
          <t>Open a participant in your org → Add hours.</t>
        </is>
      </c>
      <c r="D83" s="27" t="inlineStr">
        <is>
          <t>Hours auto-approved; count toward their total/medals.</t>
        </is>
      </c>
      <c r="E83" s="28" t="n"/>
      <c r="F83" s="27" t="n"/>
      <c r="G83" s="28" t="n"/>
    </row>
    <row r="84" ht="42" customHeight="1">
      <c r="A84" s="26" t="inlineStr">
        <is>
          <t>AD7</t>
        </is>
      </c>
      <c r="B84" s="27" t="inlineStr">
        <is>
          <t>As an Admin, I want a participant's service record.</t>
        </is>
      </c>
      <c r="C84" s="27" t="inlineStr">
        <is>
          <t>Users → Service record for a participant in your org.</t>
        </is>
      </c>
      <c r="D84" s="27" t="inlineStr">
        <is>
          <t>Record opens.</t>
        </is>
      </c>
      <c r="E84" s="28" t="n"/>
      <c r="F84" s="27" t="n"/>
      <c r="G84" s="28" t="n"/>
    </row>
    <row r="85" ht="42" customHeight="1">
      <c r="A85" s="26" t="inlineStr">
        <is>
          <t>AD8</t>
        </is>
      </c>
      <c r="B85" s="27" t="inlineStr">
        <is>
          <t>As an Admin, I want to edit/delete my org's users.</t>
        </is>
      </c>
      <c r="C85" s="27" t="inlineStr">
        <is>
          <t>Edit a name/phone; delete a test user.</t>
        </is>
      </c>
      <c r="D85" s="27" t="inlineStr">
        <is>
          <t>Changes apply within your org.</t>
        </is>
      </c>
      <c r="E85" s="28" t="n"/>
      <c r="F85" s="27" t="n"/>
      <c r="G85" s="28" t="n"/>
    </row>
    <row r="86" ht="42" customHeight="1">
      <c r="A86" s="26" t="inlineStr">
        <is>
          <t>AD9</t>
        </is>
      </c>
      <c r="B86" s="27" t="inlineStr">
        <is>
          <t>As an Admin, I must NOT act on users outside my org.</t>
        </is>
      </c>
      <c r="C86" s="27" t="inlineStr">
        <is>
          <t>Attempt to reach another org's user (e.g. direct URL).</t>
        </is>
      </c>
      <c r="D86" s="27" t="inlineStr">
        <is>
          <t>Blocked / not visible.</t>
        </is>
      </c>
      <c r="E86" s="28" t="n"/>
      <c r="F86" s="27" t="n"/>
      <c r="G86" s="28" t="n"/>
    </row>
    <row r="87" ht="42" customHeight="1">
      <c r="A87" s="26" t="inlineStr">
        <is>
          <t>AD10</t>
        </is>
      </c>
      <c r="B87" s="27" t="inlineStr">
        <is>
          <t>As an Admin, I cannot grant Admin access or manage admins.</t>
        </is>
      </c>
      <c r="C87" s="27" t="inlineStr">
        <is>
          <t>Look for the 'grant Admin access' action.</t>
        </is>
      </c>
      <c r="D87" s="27" t="inlineStr">
        <is>
          <t>No such button; attempts are blocked server-side.</t>
        </is>
      </c>
      <c r="E87" s="28" t="n"/>
      <c r="F87" s="27" t="n"/>
      <c r="G87" s="28" t="n"/>
    </row>
    <row r="88" ht="42" customHeight="1">
      <c r="A88" s="26" t="inlineStr">
        <is>
          <t>AD11</t>
        </is>
      </c>
      <c r="B88" s="27" t="inlineStr">
        <is>
          <t>As an Admin, I see and edit only my own organization.</t>
        </is>
      </c>
      <c r="C88" s="27" t="inlineStr">
        <is>
          <t>Open Organizations.</t>
        </is>
      </c>
      <c r="D88" s="27" t="inlineStr">
        <is>
          <t>Only your org shows; you can edit its settings.</t>
        </is>
      </c>
      <c r="E88" s="28" t="n"/>
      <c r="F88" s="27" t="n"/>
      <c r="G88" s="28" t="n"/>
    </row>
    <row r="89" ht="42" customHeight="1">
      <c r="A89" s="26" t="inlineStr">
        <is>
          <t>AD12</t>
        </is>
      </c>
      <c r="B89" s="27" t="inlineStr">
        <is>
          <t>As an Admin, I want to generate/rotate my org's join code.</t>
        </is>
      </c>
      <c r="C89" s="27" t="inlineStr">
        <is>
          <t>Organizations → set/generate a join code → save.</t>
        </is>
      </c>
      <c r="D89" s="27" t="inlineStr">
        <is>
          <t>Join code saved; usable at sign-up.</t>
        </is>
      </c>
      <c r="E89" s="28" t="n"/>
      <c r="F89" s="27" t="n"/>
      <c r="G89" s="28" t="n"/>
    </row>
    <row r="90" ht="42" customHeight="1">
      <c r="A90" s="26" t="inlineStr">
        <is>
          <t>AD13</t>
        </is>
      </c>
      <c r="B90" s="27" t="inlineStr">
        <is>
          <t>As an Admin, I cannot create organizations.</t>
        </is>
      </c>
      <c r="C90" s="27" t="inlineStr">
        <is>
          <t>Look for 'Add organization'.</t>
        </is>
      </c>
      <c r="D90" s="27" t="inlineStr">
        <is>
          <t>No Add button; creation blocked.</t>
        </is>
      </c>
      <c r="E90" s="28" t="n"/>
      <c r="F90" s="27" t="n"/>
      <c r="G90" s="28" t="n"/>
    </row>
    <row r="91" ht="42" customHeight="1">
      <c r="A91" s="26" t="inlineStr">
        <is>
          <t>AD14</t>
        </is>
      </c>
      <c r="B91" s="27" t="inlineStr">
        <is>
          <t>As an Admin, I cannot change the recycling cans total.</t>
        </is>
      </c>
      <c r="C91" s="27" t="inlineStr">
        <is>
          <t>Look for the cans/bin admin control.</t>
        </is>
      </c>
      <c r="D91" s="27" t="inlineStr">
        <is>
          <t>Not available (Super Admin only).</t>
        </is>
      </c>
      <c r="E91" s="28" t="n"/>
      <c r="F91" s="27" t="n"/>
      <c r="G91" s="28" t="n"/>
    </row>
    <row r="92" ht="20" customHeight="1">
      <c r="A92" s="24" t="inlineStr">
        <is>
          <t>Super Admin (global)</t>
        </is>
      </c>
      <c r="B92" s="25" t="n"/>
      <c r="C92" s="25" t="n"/>
      <c r="D92" s="25" t="n"/>
      <c r="E92" s="25" t="n"/>
      <c r="F92" s="25" t="n"/>
      <c r="G92" s="25" t="n"/>
    </row>
    <row r="93" ht="42" customHeight="1">
      <c r="A93" s="26" t="inlineStr">
        <is>
          <t>SA1</t>
        </is>
      </c>
      <c r="B93" s="27" t="inlineStr">
        <is>
          <t>As a Super Admin, I want the correct menu tabs.</t>
        </is>
      </c>
      <c r="C93" s="27" t="inlineStr">
        <is>
          <t>Look at the left menu.</t>
        </is>
      </c>
      <c r="D93" s="27" t="inlineStr">
        <is>
          <t>Dashboard, Reports, Users, Events, Organizations (Help in footer).</t>
        </is>
      </c>
      <c r="E93" s="28" t="n"/>
      <c r="F93" s="27" t="n"/>
      <c r="G93" s="28" t="n"/>
    </row>
    <row r="94" ht="42" customHeight="1">
      <c r="A94" s="26" t="inlineStr">
        <is>
          <t>SA2</t>
        </is>
      </c>
      <c r="B94" s="27" t="inlineStr">
        <is>
          <t>As a Super Admin, I can do everything an Admin can, across all orgs.</t>
        </is>
      </c>
      <c r="C94" s="27" t="inlineStr">
        <is>
          <t>Spot-check user + org actions on more than one org.</t>
        </is>
      </c>
      <c r="D94" s="27" t="inlineStr">
        <is>
          <t>All allowed regardless of org.</t>
        </is>
      </c>
      <c r="E94" s="28" t="n"/>
      <c r="F94" s="27" t="n"/>
      <c r="G94" s="28" t="n"/>
    </row>
    <row r="95" ht="42" customHeight="1">
      <c r="A95" s="26" t="inlineStr">
        <is>
          <t>SA3</t>
        </is>
      </c>
      <c r="B95" s="27" t="inlineStr">
        <is>
          <t>As a Super Admin, I want to create users incl. Supervisor and Super Admin.</t>
        </is>
      </c>
      <c r="C95" s="27" t="inlineStr">
        <is>
          <t>Users → Add user → each role.</t>
        </is>
      </c>
      <c r="D95" s="27" t="inlineStr">
        <is>
          <t>Participant/Supervisor/Super Admin options available; account created + invite email.</t>
        </is>
      </c>
      <c r="E95" s="28" t="n"/>
      <c r="F95" s="27" t="n"/>
      <c r="G95" s="28" t="n"/>
    </row>
    <row r="96" ht="42" customHeight="1">
      <c r="A96" s="26" t="inlineStr">
        <is>
          <t>SA4</t>
        </is>
      </c>
      <c r="B96" s="27" t="inlineStr">
        <is>
          <t>As a Super Admin, I want to grant/revoke Admin access.</t>
        </is>
      </c>
      <c r="C96" s="27" t="inlineStr">
        <is>
          <t>Open a user → grant Admin access → check org(s) → save; then uncheck all → save.</t>
        </is>
      </c>
      <c r="D96" s="27" t="inlineStr">
        <is>
          <t>Checking orgs makes an Admin; unchecking all reverts to participant.</t>
        </is>
      </c>
      <c r="E96" s="28" t="n"/>
      <c r="F96" s="27" t="n"/>
      <c r="G96" s="28" t="n"/>
    </row>
    <row r="97" ht="42" customHeight="1">
      <c r="A97" s="26" t="inlineStr">
        <is>
          <t>SA5</t>
        </is>
      </c>
      <c r="B97" s="27" t="inlineStr">
        <is>
          <t>As a Super Admin, I want to create organizations + join codes.</t>
        </is>
      </c>
      <c r="C97" s="27" t="inlineStr">
        <is>
          <t>Organizations → Add organization → set details + join code.</t>
        </is>
      </c>
      <c r="D97" s="27" t="inlineStr">
        <is>
          <t>Org created with its join code.</t>
        </is>
      </c>
      <c r="E97" s="28" t="n"/>
      <c r="F97" s="27" t="n"/>
      <c r="G97" s="28" t="n"/>
    </row>
    <row r="98" ht="42" customHeight="1">
      <c r="A98" s="26" t="inlineStr">
        <is>
          <t>SA6</t>
        </is>
      </c>
      <c r="B98" s="27" t="inlineStr">
        <is>
          <t>As a Super Admin, I want to find users by type.</t>
        </is>
      </c>
      <c r="C98" s="27" t="inlineStr">
        <is>
          <t>Users → role filter pills + search.</t>
        </is>
      </c>
      <c r="D98" s="27" t="inlineStr">
        <is>
          <t>Filter by role with counts; search by name/email across all orgs.</t>
        </is>
      </c>
      <c r="E98" s="28" t="n"/>
      <c r="F98" s="27" t="n"/>
      <c r="G98" s="28" t="n"/>
    </row>
    <row r="99" ht="42" customHeight="1">
      <c r="A99" s="26" t="inlineStr">
        <is>
          <t>SA7</t>
        </is>
      </c>
      <c r="B99" s="27" t="inlineStr">
        <is>
          <t>As a Super Admin, I want to search events.</t>
        </is>
      </c>
      <c r="C99" s="27" t="inlineStr">
        <is>
          <t>Events → search + date range; check supervisor/org per card.</t>
        </is>
      </c>
      <c r="D99" s="27" t="inlineStr">
        <is>
          <t>Filters work; each event shows supervisor and organization.</t>
        </is>
      </c>
      <c r="E99" s="28" t="n"/>
      <c r="F99" s="27" t="n"/>
      <c r="G99" s="28" t="n"/>
    </row>
    <row r="100" ht="42" customHeight="1">
      <c r="A100" s="26" t="inlineStr">
        <is>
          <t>SA8</t>
        </is>
      </c>
      <c r="B100" s="27" t="inlineStr">
        <is>
          <t>As a Super Admin, I want clear event-visibility labels.</t>
        </is>
      </c>
      <c r="C100" s="27" t="inlineStr">
        <is>
          <t>New Event → 'Who can see this'.</t>
        </is>
      </c>
      <c r="D100" s="27" t="inlineStr">
        <is>
          <t>'Open to all (community)' and 'Only &lt;org&gt; students' with helper text.</t>
        </is>
      </c>
      <c r="E100" s="28" t="n"/>
      <c r="F100" s="27" t="n"/>
      <c r="G100" s="28" t="n"/>
    </row>
    <row r="101" ht="42" customHeight="1">
      <c r="A101" s="26" t="inlineStr">
        <is>
          <t>SA9</t>
        </is>
      </c>
      <c r="B101" s="27" t="inlineStr">
        <is>
          <t>As a Super Admin, I want program-wide reports.</t>
        </is>
      </c>
      <c r="C101" s="27" t="inlineStr">
        <is>
          <t>Open Reports / Dashboard.</t>
        </is>
      </c>
      <c r="D101" s="27" t="inlineStr">
        <is>
          <t>Totals and charts across the whole program.</t>
        </is>
      </c>
      <c r="E101" s="28" t="n"/>
      <c r="F101" s="27" t="n"/>
      <c r="G101" s="28" t="n"/>
    </row>
    <row r="102" ht="42" customHeight="1">
      <c r="A102" s="26" t="inlineStr">
        <is>
          <t>SA10</t>
        </is>
      </c>
      <c r="B102" s="27" t="inlineStr">
        <is>
          <t>As a Super Admin, I want to verify email works.</t>
        </is>
      </c>
      <c r="C102" s="27" t="inlineStr">
        <is>
          <t>Dashboard → Send test email.</t>
        </is>
      </c>
      <c r="D102" s="27" t="inlineStr">
        <is>
          <t>Result shown (success or the exact failure reason).</t>
        </is>
      </c>
      <c r="E102" s="28" t="n"/>
      <c r="F102" s="27" t="n"/>
      <c r="G102" s="28" t="n"/>
    </row>
    <row r="103" ht="42" customHeight="1">
      <c r="A103" s="26" t="inlineStr">
        <is>
          <t>SA11</t>
        </is>
      </c>
      <c r="B103" s="27" t="inlineStr">
        <is>
          <t>As a Super Admin, I want to update the recycling cans total.</t>
        </is>
      </c>
      <c r="C103" s="27" t="inlineStr">
        <is>
          <t>Use the cans/bin admin control.</t>
        </is>
      </c>
      <c r="D103" s="27" t="inlineStr">
        <is>
          <t>Total updates; the ribbon reflects it.</t>
        </is>
      </c>
      <c r="E103" s="28" t="n"/>
      <c r="F103" s="27" t="n"/>
      <c r="G103" s="28" t="n"/>
    </row>
    <row r="104" ht="42" customHeight="1">
      <c r="A104" s="26" t="inlineStr">
        <is>
          <t>SA12</t>
        </is>
      </c>
      <c r="B104" s="27" t="inlineStr">
        <is>
          <t>As a Super Admin, I want hours + records for any user.</t>
        </is>
      </c>
      <c r="C104" s="27" t="inlineStr">
        <is>
          <t>Add manual hours / open service record for any participant.</t>
        </is>
      </c>
      <c r="D104" s="27" t="inlineStr">
        <is>
          <t>Works for any org.</t>
        </is>
      </c>
      <c r="E104" s="28" t="n"/>
      <c r="F104" s="27" t="n"/>
      <c r="G104" s="28" t="n"/>
    </row>
    <row r="105" ht="20" customHeight="1">
      <c r="A105" s="24" t="inlineStr">
        <is>
          <t>Cross-cutting</t>
        </is>
      </c>
      <c r="B105" s="25" t="n"/>
      <c r="C105" s="25" t="n"/>
      <c r="D105" s="25" t="n"/>
      <c r="E105" s="25" t="n"/>
      <c r="F105" s="25" t="n"/>
      <c r="G105" s="25" t="n"/>
    </row>
    <row r="106" ht="42" customHeight="1">
      <c r="A106" s="26" t="inlineStr">
        <is>
          <t>X1</t>
        </is>
      </c>
      <c r="B106" s="27" t="inlineStr">
        <is>
          <t>As a phone user, I want a usable mobile layout.</t>
        </is>
      </c>
      <c r="C106" s="27" t="inlineStr">
        <is>
          <t>Open at phone width; use the menu drawer.</t>
        </is>
      </c>
      <c r="D106" s="27" t="inlineStr">
        <is>
          <t>Layout adapts; drawer opens/closes; no horizontal scroll.</t>
        </is>
      </c>
      <c r="E106" s="28" t="n"/>
      <c r="F106" s="27" t="n"/>
      <c r="G106" s="28" t="n"/>
    </row>
    <row r="107" ht="42" customHeight="1">
      <c r="A107" s="26" t="inlineStr">
        <is>
          <t>X2</t>
        </is>
      </c>
      <c r="B107" s="27" t="inlineStr">
        <is>
          <t>As a visitor, I want the recycling ribbon on the login page.</t>
        </is>
      </c>
      <c r="C107" s="27" t="inlineStr">
        <is>
          <t>Open login signed out.</t>
        </is>
      </c>
      <c r="D107" s="27" t="inlineStr">
        <is>
          <t>Green ribbon shows on login.</t>
        </is>
      </c>
      <c r="E107" s="28" t="n"/>
      <c r="F107" s="27" t="n"/>
      <c r="G107" s="28" t="n"/>
    </row>
  </sheetData>
  <mergeCells count="9">
    <mergeCell ref="A1:G1"/>
    <mergeCell ref="A3:G3"/>
    <mergeCell ref="A77:G77"/>
    <mergeCell ref="A105:G105"/>
    <mergeCell ref="A35:G35"/>
    <mergeCell ref="A92:G92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8:E91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3:E10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6:E10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6 E78:E91 E93:E104 E106:E10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I want to enter an organization code during sign-up.</t>
        </is>
      </c>
      <c r="C12" s="27" t="inlineStr">
        <is>
          <t>Enter a code in the Organization code field (optional) and submit.</t>
        </is>
      </c>
      <c r="D12" s="27" t="inlineStr">
        <is>
          <t>A valid code enrolls me in that org; a bad code is rejected; blank is allowed.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20" customHeight="1">
      <c r="A77" s="24" t="inlineStr">
        <is>
          <t>Admin (org-scoped)</t>
        </is>
      </c>
      <c r="B77" s="25" t="n"/>
      <c r="C77" s="25" t="n"/>
      <c r="D77" s="25" t="n"/>
      <c r="E77" s="25" t="n"/>
      <c r="F77" s="25" t="n"/>
      <c r="G77" s="25" t="n"/>
    </row>
    <row r="78" ht="42" customHeight="1">
      <c r="A78" s="26" t="inlineStr">
        <is>
          <t>AD1</t>
        </is>
      </c>
      <c r="B78" s="27" t="inlineStr">
        <is>
          <t>As an Admin, I want the correct menu tabs.</t>
        </is>
      </c>
      <c r="C78" s="27" t="inlineStr">
        <is>
          <t>Look at the left menu.</t>
        </is>
      </c>
      <c r="D78" s="27" t="inlineStr">
        <is>
          <t>Dashboard, Pending Reviews, Reviewed History, My Events, All Opportunities, Users, Organizations, My Hours, Help.</t>
        </is>
      </c>
      <c r="E78" s="28" t="n"/>
      <c r="F78" s="27" t="n"/>
      <c r="G78" s="28" t="n"/>
    </row>
    <row r="79" ht="42" customHeight="1">
      <c r="A79" s="26" t="inlineStr">
        <is>
          <t>AD2</t>
        </is>
      </c>
      <c r="B79" s="27" t="inlineStr">
        <is>
          <t>As an Admin, I can do everything a supervisor can.</t>
        </is>
      </c>
      <c r="C79" s="27" t="inlineStr">
        <is>
          <t>Spot-check: approve an item and create an event.</t>
        </is>
      </c>
      <c r="D79" s="27" t="inlineStr">
        <is>
          <t>Both work.</t>
        </is>
      </c>
      <c r="E79" s="28" t="n"/>
      <c r="F79" s="27" t="n"/>
      <c r="G79" s="28" t="n"/>
    </row>
    <row r="80" ht="42" customHeight="1">
      <c r="A80" s="26" t="inlineStr">
        <is>
          <t>AD3</t>
        </is>
      </c>
      <c r="B80" s="27" t="inlineStr">
        <is>
          <t>As an Admin, I only see my org's non-admin users.</t>
        </is>
      </c>
      <c r="C80" s="27" t="inlineStr">
        <is>
          <t>Open Users.</t>
        </is>
      </c>
      <c r="D80" s="27" t="inlineStr">
        <is>
          <t>Only participants/parents/supervisors in your org; no admins/super admins; no other orgs.</t>
        </is>
      </c>
      <c r="E80" s="28" t="n"/>
      <c r="F80" s="27" t="n"/>
      <c r="G80" s="28" t="n"/>
    </row>
    <row r="81" ht="42" customHeight="1">
      <c r="A81" s="26" t="inlineStr">
        <is>
          <t>AD4</t>
        </is>
      </c>
      <c r="B81" s="27" t="inlineStr">
        <is>
          <t>As an Admin, I want to add a supervisor.</t>
        </is>
      </c>
      <c r="C81" s="27" t="inlineStr">
        <is>
          <t>Users → Add user → Supervisor → save.</t>
        </is>
      </c>
      <c r="D81" s="27" t="inlineStr">
        <is>
          <t>Supervisor created, stamped to your org; invite email sent.</t>
        </is>
      </c>
      <c r="E81" s="28" t="n"/>
      <c r="F81" s="27" t="n"/>
      <c r="G81" s="28" t="n"/>
    </row>
    <row r="82" ht="42" customHeight="1">
      <c r="A82" s="26" t="inlineStr">
        <is>
          <t>AD5</t>
        </is>
      </c>
      <c r="B82" s="27" t="inlineStr">
        <is>
          <t>As an Admin, I want to create a participant as a fallback.</t>
        </is>
      </c>
      <c r="C82" s="27" t="inlineStr">
        <is>
          <t>Users → Add user → Participant → save.</t>
        </is>
      </c>
      <c r="D82" s="27" t="inlineStr">
        <is>
          <t>Participant created with a set-password invite (no silent password).</t>
        </is>
      </c>
      <c r="E82" s="28" t="n"/>
      <c r="F82" s="27" t="n"/>
      <c r="G82" s="28" t="n"/>
    </row>
    <row r="83" ht="42" customHeight="1">
      <c r="A83" s="26" t="inlineStr">
        <is>
          <t>AD6</t>
        </is>
      </c>
      <c r="B83" s="27" t="inlineStr">
        <is>
          <t>As an Admin, I want to grant participant hours.</t>
        </is>
      </c>
      <c r="C83" s="27" t="inlineStr">
        <is>
          <t>Open a participant in your org → Add hours.</t>
        </is>
      </c>
      <c r="D83" s="27" t="inlineStr">
        <is>
          <t>Hours auto-approved; count toward their total/medals.</t>
        </is>
      </c>
      <c r="E83" s="28" t="n"/>
      <c r="F83" s="27" t="n"/>
      <c r="G83" s="28" t="n"/>
    </row>
    <row r="84" ht="42" customHeight="1">
      <c r="A84" s="26" t="inlineStr">
        <is>
          <t>AD7</t>
        </is>
      </c>
      <c r="B84" s="27" t="inlineStr">
        <is>
          <t>As an Admin, I want a participant's service record.</t>
        </is>
      </c>
      <c r="C84" s="27" t="inlineStr">
        <is>
          <t>Users → Service record for a participant in your org.</t>
        </is>
      </c>
      <c r="D84" s="27" t="inlineStr">
        <is>
          <t>Record opens.</t>
        </is>
      </c>
      <c r="E84" s="28" t="n"/>
      <c r="F84" s="27" t="n"/>
      <c r="G84" s="28" t="n"/>
    </row>
    <row r="85" ht="42" customHeight="1">
      <c r="A85" s="26" t="inlineStr">
        <is>
          <t>AD8</t>
        </is>
      </c>
      <c r="B85" s="27" t="inlineStr">
        <is>
          <t>As an Admin, I want to edit/delete my org's users.</t>
        </is>
      </c>
      <c r="C85" s="27" t="inlineStr">
        <is>
          <t>Edit a name/phone; delete a test user.</t>
        </is>
      </c>
      <c r="D85" s="27" t="inlineStr">
        <is>
          <t>Changes apply within your org.</t>
        </is>
      </c>
      <c r="E85" s="28" t="n"/>
      <c r="F85" s="27" t="n"/>
      <c r="G85" s="28" t="n"/>
    </row>
    <row r="86" ht="42" customHeight="1">
      <c r="A86" s="26" t="inlineStr">
        <is>
          <t>AD9</t>
        </is>
      </c>
      <c r="B86" s="27" t="inlineStr">
        <is>
          <t>As an Admin, I must NOT act on users outside my org.</t>
        </is>
      </c>
      <c r="C86" s="27" t="inlineStr">
        <is>
          <t>Attempt to reach another org's user (e.g. direct URL).</t>
        </is>
      </c>
      <c r="D86" s="27" t="inlineStr">
        <is>
          <t>Blocked / not visible.</t>
        </is>
      </c>
      <c r="E86" s="28" t="n"/>
      <c r="F86" s="27" t="n"/>
      <c r="G86" s="28" t="n"/>
    </row>
    <row r="87" ht="42" customHeight="1">
      <c r="A87" s="26" t="inlineStr">
        <is>
          <t>AD10</t>
        </is>
      </c>
      <c r="B87" s="27" t="inlineStr">
        <is>
          <t>As an Admin, I cannot grant Admin access or manage admins.</t>
        </is>
      </c>
      <c r="C87" s="27" t="inlineStr">
        <is>
          <t>Look for the 'grant Admin access' action.</t>
        </is>
      </c>
      <c r="D87" s="27" t="inlineStr">
        <is>
          <t>No such button; attempts are blocked server-side.</t>
        </is>
      </c>
      <c r="E87" s="28" t="n"/>
      <c r="F87" s="27" t="n"/>
      <c r="G87" s="28" t="n"/>
    </row>
    <row r="88" ht="42" customHeight="1">
      <c r="A88" s="26" t="inlineStr">
        <is>
          <t>AD11</t>
        </is>
      </c>
      <c r="B88" s="27" t="inlineStr">
        <is>
          <t>As an Admin, I see and edit only my own organization.</t>
        </is>
      </c>
      <c r="C88" s="27" t="inlineStr">
        <is>
          <t>Open Organizations.</t>
        </is>
      </c>
      <c r="D88" s="27" t="inlineStr">
        <is>
          <t>Only your org shows; you can edit its settings.</t>
        </is>
      </c>
      <c r="E88" s="28" t="n"/>
      <c r="F88" s="27" t="n"/>
      <c r="G88" s="28" t="n"/>
    </row>
    <row r="89" ht="42" customHeight="1">
      <c r="A89" s="26" t="inlineStr">
        <is>
          <t>AD12</t>
        </is>
      </c>
      <c r="B89" s="27" t="inlineStr">
        <is>
          <t>As an Admin, I want to generate/rotate my org's join code.</t>
        </is>
      </c>
      <c r="C89" s="27" t="inlineStr">
        <is>
          <t>Organizations → set/generate a join code → save.</t>
        </is>
      </c>
      <c r="D89" s="27" t="inlineStr">
        <is>
          <t>Join code saved; usable at sign-up.</t>
        </is>
      </c>
      <c r="E89" s="28" t="n"/>
      <c r="F89" s="27" t="n"/>
      <c r="G89" s="28" t="n"/>
    </row>
    <row r="90" ht="42" customHeight="1">
      <c r="A90" s="26" t="inlineStr">
        <is>
          <t>AD13</t>
        </is>
      </c>
      <c r="B90" s="27" t="inlineStr">
        <is>
          <t>As an Admin, I cannot create organizations.</t>
        </is>
      </c>
      <c r="C90" s="27" t="inlineStr">
        <is>
          <t>Look for 'Add organization'.</t>
        </is>
      </c>
      <c r="D90" s="27" t="inlineStr">
        <is>
          <t>No Add button; creation blocked.</t>
        </is>
      </c>
      <c r="E90" s="28" t="n"/>
      <c r="F90" s="27" t="n"/>
      <c r="G90" s="28" t="n"/>
    </row>
    <row r="91" ht="42" customHeight="1">
      <c r="A91" s="26" t="inlineStr">
        <is>
          <t>AD14</t>
        </is>
      </c>
      <c r="B91" s="27" t="inlineStr">
        <is>
          <t>As an Admin, I cannot change the recycling cans total.</t>
        </is>
      </c>
      <c r="C91" s="27" t="inlineStr">
        <is>
          <t>Look for the cans/bin admin control.</t>
        </is>
      </c>
      <c r="D91" s="27" t="inlineStr">
        <is>
          <t>Not available (Super Admin only).</t>
        </is>
      </c>
      <c r="E91" s="28" t="n"/>
      <c r="F91" s="27" t="n"/>
      <c r="G91" s="28" t="n"/>
    </row>
    <row r="92" ht="20" customHeight="1">
      <c r="A92" s="24" t="inlineStr">
        <is>
          <t>Super Admin (global)</t>
        </is>
      </c>
      <c r="B92" s="25" t="n"/>
      <c r="C92" s="25" t="n"/>
      <c r="D92" s="25" t="n"/>
      <c r="E92" s="25" t="n"/>
      <c r="F92" s="25" t="n"/>
      <c r="G92" s="25" t="n"/>
    </row>
    <row r="93" ht="42" customHeight="1">
      <c r="A93" s="26" t="inlineStr">
        <is>
          <t>SA1</t>
        </is>
      </c>
      <c r="B93" s="27" t="inlineStr">
        <is>
          <t>As a Super Admin, I want the correct menu tabs.</t>
        </is>
      </c>
      <c r="C93" s="27" t="inlineStr">
        <is>
          <t>Look at the left menu.</t>
        </is>
      </c>
      <c r="D93" s="27" t="inlineStr">
        <is>
          <t>Dashboard, Reports, Users, Events, Organizations (Help in footer).</t>
        </is>
      </c>
      <c r="E93" s="28" t="n"/>
      <c r="F93" s="27" t="n"/>
      <c r="G93" s="28" t="n"/>
    </row>
    <row r="94" ht="42" customHeight="1">
      <c r="A94" s="26" t="inlineStr">
        <is>
          <t>SA2</t>
        </is>
      </c>
      <c r="B94" s="27" t="inlineStr">
        <is>
          <t>As a Super Admin, I can do everything an Admin can, across all orgs.</t>
        </is>
      </c>
      <c r="C94" s="27" t="inlineStr">
        <is>
          <t>Spot-check user + org actions on more than one org.</t>
        </is>
      </c>
      <c r="D94" s="27" t="inlineStr">
        <is>
          <t>All allowed regardless of org.</t>
        </is>
      </c>
      <c r="E94" s="28" t="n"/>
      <c r="F94" s="27" t="n"/>
      <c r="G94" s="28" t="n"/>
    </row>
    <row r="95" ht="42" customHeight="1">
      <c r="A95" s="26" t="inlineStr">
        <is>
          <t>SA3</t>
        </is>
      </c>
      <c r="B95" s="27" t="inlineStr">
        <is>
          <t>As a Super Admin, I want to create users incl. Supervisor and Super Admin.</t>
        </is>
      </c>
      <c r="C95" s="27" t="inlineStr">
        <is>
          <t>Users → Add user → each role.</t>
        </is>
      </c>
      <c r="D95" s="27" t="inlineStr">
        <is>
          <t>Participant/Supervisor/Super Admin options available; account created + invite email.</t>
        </is>
      </c>
      <c r="E95" s="28" t="n"/>
      <c r="F95" s="27" t="n"/>
      <c r="G95" s="28" t="n"/>
    </row>
    <row r="96" ht="42" customHeight="1">
      <c r="A96" s="26" t="inlineStr">
        <is>
          <t>SA4</t>
        </is>
      </c>
      <c r="B96" s="27" t="inlineStr">
        <is>
          <t>As a Super Admin, I want to grant/revoke Admin access.</t>
        </is>
      </c>
      <c r="C96" s="27" t="inlineStr">
        <is>
          <t>Open a user → grant Admin access → check org(s) → save; then uncheck all → save.</t>
        </is>
      </c>
      <c r="D96" s="27" t="inlineStr">
        <is>
          <t>Checking orgs makes an Admin; unchecking all reverts to participant.</t>
        </is>
      </c>
      <c r="E96" s="28" t="n"/>
      <c r="F96" s="27" t="n"/>
      <c r="G96" s="28" t="n"/>
    </row>
    <row r="97" ht="42" customHeight="1">
      <c r="A97" s="26" t="inlineStr">
        <is>
          <t>SA5</t>
        </is>
      </c>
      <c r="B97" s="27" t="inlineStr">
        <is>
          <t>As a Super Admin, I want to create organizations + join codes.</t>
        </is>
      </c>
      <c r="C97" s="27" t="inlineStr">
        <is>
          <t>Organizations → Add organization → set details + join code.</t>
        </is>
      </c>
      <c r="D97" s="27" t="inlineStr">
        <is>
          <t>Org created with its join code.</t>
        </is>
      </c>
      <c r="E97" s="28" t="n"/>
      <c r="F97" s="27" t="n"/>
      <c r="G97" s="28" t="n"/>
    </row>
    <row r="98" ht="42" customHeight="1">
      <c r="A98" s="26" t="inlineStr">
        <is>
          <t>SA6</t>
        </is>
      </c>
      <c r="B98" s="27" t="inlineStr">
        <is>
          <t>As a Super Admin, I want to find users by type.</t>
        </is>
      </c>
      <c r="C98" s="27" t="inlineStr">
        <is>
          <t>Users → role filter pills + search.</t>
        </is>
      </c>
      <c r="D98" s="27" t="inlineStr">
        <is>
          <t>Filter by role with counts; search by name/email across all orgs.</t>
        </is>
      </c>
      <c r="E98" s="28" t="n"/>
      <c r="F98" s="27" t="n"/>
      <c r="G98" s="28" t="n"/>
    </row>
    <row r="99" ht="42" customHeight="1">
      <c r="A99" s="26" t="inlineStr">
        <is>
          <t>SA7</t>
        </is>
      </c>
      <c r="B99" s="27" t="inlineStr">
        <is>
          <t>As a Super Admin, I want to search events.</t>
        </is>
      </c>
      <c r="C99" s="27" t="inlineStr">
        <is>
          <t>Events → search + date range; check supervisor/org per card.</t>
        </is>
      </c>
      <c r="D99" s="27" t="inlineStr">
        <is>
          <t>Filters work; each event shows supervisor and organization.</t>
        </is>
      </c>
      <c r="E99" s="28" t="n"/>
      <c r="F99" s="27" t="n"/>
      <c r="G99" s="28" t="n"/>
    </row>
    <row r="100" ht="42" customHeight="1">
      <c r="A100" s="26" t="inlineStr">
        <is>
          <t>SA8</t>
        </is>
      </c>
      <c r="B100" s="27" t="inlineStr">
        <is>
          <t>As a Super Admin, I want clear event-visibility labels.</t>
        </is>
      </c>
      <c r="C100" s="27" t="inlineStr">
        <is>
          <t>New Event → 'Who can see this'.</t>
        </is>
      </c>
      <c r="D100" s="27" t="inlineStr">
        <is>
          <t>'Open to all (community)' and 'Only &lt;org&gt; students' with helper text.</t>
        </is>
      </c>
      <c r="E100" s="28" t="n"/>
      <c r="F100" s="27" t="n"/>
      <c r="G100" s="28" t="n"/>
    </row>
    <row r="101" ht="42" customHeight="1">
      <c r="A101" s="26" t="inlineStr">
        <is>
          <t>SA9</t>
        </is>
      </c>
      <c r="B101" s="27" t="inlineStr">
        <is>
          <t>As a Super Admin, I want program-wide reports.</t>
        </is>
      </c>
      <c r="C101" s="27" t="inlineStr">
        <is>
          <t>Open Reports / Dashboard.</t>
        </is>
      </c>
      <c r="D101" s="27" t="inlineStr">
        <is>
          <t>Totals and charts across the whole program.</t>
        </is>
      </c>
      <c r="E101" s="28" t="n"/>
      <c r="F101" s="27" t="n"/>
      <c r="G101" s="28" t="n"/>
    </row>
    <row r="102" ht="42" customHeight="1">
      <c r="A102" s="26" t="inlineStr">
        <is>
          <t>SA10</t>
        </is>
      </c>
      <c r="B102" s="27" t="inlineStr">
        <is>
          <t>As a Super Admin, I want to verify email works.</t>
        </is>
      </c>
      <c r="C102" s="27" t="inlineStr">
        <is>
          <t>Dashboard → Send test email.</t>
        </is>
      </c>
      <c r="D102" s="27" t="inlineStr">
        <is>
          <t>Result shown (success or the exact failure reason).</t>
        </is>
      </c>
      <c r="E102" s="28" t="n"/>
      <c r="F102" s="27" t="n"/>
      <c r="G102" s="28" t="n"/>
    </row>
    <row r="103" ht="42" customHeight="1">
      <c r="A103" s="26" t="inlineStr">
        <is>
          <t>SA11</t>
        </is>
      </c>
      <c r="B103" s="27" t="inlineStr">
        <is>
          <t>As a Super Admin, I want to update the recycling cans total.</t>
        </is>
      </c>
      <c r="C103" s="27" t="inlineStr">
        <is>
          <t>Use the cans/bin admin control.</t>
        </is>
      </c>
      <c r="D103" s="27" t="inlineStr">
        <is>
          <t>Total updates; the ribbon reflects it.</t>
        </is>
      </c>
      <c r="E103" s="28" t="n"/>
      <c r="F103" s="27" t="n"/>
      <c r="G103" s="28" t="n"/>
    </row>
    <row r="104" ht="42" customHeight="1">
      <c r="A104" s="26" t="inlineStr">
        <is>
          <t>SA12</t>
        </is>
      </c>
      <c r="B104" s="27" t="inlineStr">
        <is>
          <t>As a Super Admin, I want hours + records for any user.</t>
        </is>
      </c>
      <c r="C104" s="27" t="inlineStr">
        <is>
          <t>Add manual hours / open service record for any participant.</t>
        </is>
      </c>
      <c r="D104" s="27" t="inlineStr">
        <is>
          <t>Works for any org.</t>
        </is>
      </c>
      <c r="E104" s="28" t="n"/>
      <c r="F104" s="27" t="n"/>
      <c r="G104" s="28" t="n"/>
    </row>
    <row r="105" ht="20" customHeight="1">
      <c r="A105" s="24" t="inlineStr">
        <is>
          <t>Cross-cutting</t>
        </is>
      </c>
      <c r="B105" s="25" t="n"/>
      <c r="C105" s="25" t="n"/>
      <c r="D105" s="25" t="n"/>
      <c r="E105" s="25" t="n"/>
      <c r="F105" s="25" t="n"/>
      <c r="G105" s="25" t="n"/>
    </row>
    <row r="106" ht="42" customHeight="1">
      <c r="A106" s="26" t="inlineStr">
        <is>
          <t>X1</t>
        </is>
      </c>
      <c r="B106" s="27" t="inlineStr">
        <is>
          <t>As a phone user, I want a usable mobile layout.</t>
        </is>
      </c>
      <c r="C106" s="27" t="inlineStr">
        <is>
          <t>Open at phone width; use the menu drawer.</t>
        </is>
      </c>
      <c r="D106" s="27" t="inlineStr">
        <is>
          <t>Layout adapts; drawer opens/closes; no horizontal scroll.</t>
        </is>
      </c>
      <c r="E106" s="28" t="n"/>
      <c r="F106" s="27" t="n"/>
      <c r="G106" s="28" t="n"/>
    </row>
    <row r="107" ht="42" customHeight="1">
      <c r="A107" s="26" t="inlineStr">
        <is>
          <t>X2</t>
        </is>
      </c>
      <c r="B107" s="27" t="inlineStr">
        <is>
          <t>As a visitor, I want the recycling ribbon on the login page.</t>
        </is>
      </c>
      <c r="C107" s="27" t="inlineStr">
        <is>
          <t>Open login signed out.</t>
        </is>
      </c>
      <c r="D107" s="27" t="inlineStr">
        <is>
          <t>Green ribbon shows on login.</t>
        </is>
      </c>
      <c r="E107" s="28" t="n"/>
      <c r="F107" s="27" t="n"/>
      <c r="G107" s="28" t="n"/>
    </row>
  </sheetData>
  <mergeCells count="9">
    <mergeCell ref="A1:G1"/>
    <mergeCell ref="A3:G3"/>
    <mergeCell ref="A77:G77"/>
    <mergeCell ref="A105:G105"/>
    <mergeCell ref="A35:G35"/>
    <mergeCell ref="A92:G92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8:E91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3:E10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6:E10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6 E78:E91 E93:E104 E106:E10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2026-09-19T23:52:30Z</dcterms:created>
  <dcterms:modified xsi:type="dcterms:W3CDTF">2026-09-19T23:52:30Z</dcterms:modified>
</cp:coreProperties>
</file>