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&amp; Testers" sheetId="1" state="visible" r:id="rId1"/>
    <sheet name="Summary" sheetId="2" state="visible" r:id="rId2"/>
    <sheet name="iOS" sheetId="3" state="visible" r:id="rId3"/>
    <sheet name="Android" sheetId="4" state="visible" r:id="rId4"/>
    <sheet name="Desktop Chrome" sheetId="5" state="visible" r:id="rId5"/>
    <sheet name="Desktop Firefox" sheetId="6" state="visible" r:id="rId6"/>
    <sheet name="Desktop 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A5F"/>
      <sz val="12"/>
    </font>
    <font>
      <name val="Arial"/>
      <color rgb="00333333"/>
      <sz val="10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F3A5F"/>
      <sz val="10"/>
    </font>
    <font>
      <name val="Arial"/>
      <b val="1"/>
      <color rgb="00FFFFFF"/>
      <sz val="15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6DA4"/>
      </patternFill>
    </fill>
    <fill>
      <patternFill patternType="solid">
        <fgColor rgb="003C6E9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indent="1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wrapText="1" indent="1"/>
    </xf>
    <xf numFmtId="0" fontId="7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0" borderId="1" applyAlignment="1" pivotButton="0" quotePrefix="0" xfId="0">
      <alignment horizontal="lef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indent="1"/>
    </xf>
  </cellXfs>
  <cellStyles count="1">
    <cellStyle name="Normal" xfId="0" builtinId="0" hidden="0"/>
  </cellStyles>
  <dxfs count="3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7F6000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 ht="34" customHeight="1">
      <c r="A1" s="1" t="inlineStr">
        <is>
          <t>MedinaCares Volunteer Service Awards — Tester Guide &amp; Assignment</t>
        </is>
      </c>
      <c r="B1" s="2" t="n"/>
      <c r="C1" s="2" t="n"/>
      <c r="D1" s="2" t="n"/>
      <c r="E1" s="2" t="n"/>
      <c r="F1" s="2" t="n"/>
    </row>
    <row r="3">
      <c r="A3" s="3" t="inlineStr">
        <is>
          <t>How to test</t>
        </is>
      </c>
    </row>
    <row r="4">
      <c r="A4" s="4" t="inlineStr">
        <is>
          <t>Thank you for testing MedinaCares! Please follow these steps:</t>
        </is>
      </c>
    </row>
    <row r="5">
      <c r="A5" s="4" t="inlineStr">
        <is>
          <t>1. Find your name in the Testers table below and note your assigned platform tab(s).</t>
        </is>
      </c>
    </row>
    <row r="6">
      <c r="A6" s="4" t="inlineStr">
        <is>
          <t>2. Open your tab (iOS, Android, Desktop Chrome, Desktop Firefox, or Desktop Other).</t>
        </is>
      </c>
    </row>
    <row r="7">
      <c r="A7" s="4" t="inlineStr">
        <is>
          <t>3. Cases are grouped by persona. Sign in with an account of that persona, then work top to bottom.</t>
        </is>
      </c>
    </row>
    <row r="8">
      <c r="A8" s="4" t="inlineStr">
        <is>
          <t>4. For each row read the User story, do the Steps, and compare to 'Expected behavior (what you should see)'.</t>
        </is>
      </c>
    </row>
    <row r="9">
      <c r="A9" s="4" t="inlineStr">
        <is>
          <t>5. In 'Result' pick Pass / Fail / Blocked / Not tested / N/A.</t>
        </is>
      </c>
    </row>
    <row r="10">
      <c r="A10" s="4" t="inlineStr">
        <is>
          <t xml:space="preserve">   Pass = worked as described.  Fail = did not.  Blocked = couldn't test (needed data/access).  N/A = not applicable.</t>
        </is>
      </c>
    </row>
    <row r="11">
      <c r="A11" s="4" t="inlineStr">
        <is>
          <t>6. Put details in 'Comments' — for any Fail, what happened + how to reproduce.</t>
        </is>
      </c>
    </row>
    <row r="12">
      <c r="A12" s="4" t="inlineStr">
        <is>
          <t>7. For a Fail, screenshot it into the shared folder named &lt;Test ID&gt;-&lt;your name&gt;.png (e.g. SV14-aisha.png) and note it in Comments.</t>
        </is>
      </c>
    </row>
    <row r="13">
      <c r="A13" s="4" t="inlineStr">
        <is>
          <t>8. Put your name in 'Tester' for rows you complete, and update your Status below.</t>
        </is>
      </c>
    </row>
    <row r="14">
      <c r="A14" s="4" t="inlineStr"/>
    </row>
    <row r="15">
      <c r="A15" s="4" t="inlineStr">
        <is>
          <t>Note: expected results are described in words rather than embedded screenshots (to keep the file light). Only attach screenshots for failures.</t>
        </is>
      </c>
    </row>
    <row r="16">
      <c r="A16" s="4" t="inlineStr">
        <is>
          <t>Staging URL &amp; test logins (one per persona): &lt;ADD BEFORE SENDING&gt;.</t>
        </is>
      </c>
    </row>
    <row r="17">
      <c r="A17" s="4" t="inlineStr">
        <is>
          <t>Questions: email mcc@medinaacademy.org.</t>
        </is>
      </c>
    </row>
    <row r="19" ht="22" customHeight="1">
      <c r="A19" s="5" t="inlineStr">
        <is>
          <t>Tester name</t>
        </is>
      </c>
      <c r="B19" s="5" t="inlineStr">
        <is>
          <t>Device / OS</t>
        </is>
      </c>
      <c r="C19" s="5" t="inlineStr">
        <is>
          <t>Browser</t>
        </is>
      </c>
      <c r="D19" s="5" t="inlineStr">
        <is>
          <t>Assigned tab(s)</t>
        </is>
      </c>
      <c r="E19" s="5" t="inlineStr">
        <is>
          <t>Status</t>
        </is>
      </c>
    </row>
    <row r="20">
      <c r="A20" s="6" t="inlineStr">
        <is>
          <t>Aisha Khan (example)</t>
        </is>
      </c>
      <c r="B20" s="6" t="inlineStr">
        <is>
          <t>iPhone 14, iOS 17</t>
        </is>
      </c>
      <c r="C20" s="6" t="inlineStr">
        <is>
          <t>Safari</t>
        </is>
      </c>
      <c r="D20" s="6" t="inlineStr">
        <is>
          <t>iOS</t>
        </is>
      </c>
      <c r="E20" s="6" t="inlineStr">
        <is>
          <t>In progress</t>
        </is>
      </c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16">
    <mergeCell ref="A16:F16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3:F3"/>
    <mergeCell ref="A15:F15"/>
    <mergeCell ref="A7:F7"/>
  </mergeCells>
  <dataValidations count="1">
    <dataValidation sqref="E20:E34" showDropDown="0" showInputMessage="0" showErrorMessage="0" allowBlank="1" type="list">
      <formula1>"Not started,In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8" t="inlineStr">
        <is>
          <t>Testing summary (live counts)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9" t="inlineStr">
        <is>
          <t>Counts update automatically as testers fill in each platform tab's Result column.</t>
        </is>
      </c>
    </row>
    <row r="4">
      <c r="A4" s="10" t="inlineStr">
        <is>
          <t>Overall by platform</t>
        </is>
      </c>
    </row>
    <row r="5">
      <c r="A5" s="11" t="inlineStr">
        <is>
          <t>Platform</t>
        </is>
      </c>
      <c r="B5" s="11" t="inlineStr">
        <is>
          <t>Total</t>
        </is>
      </c>
      <c r="C5" s="11" t="inlineStr">
        <is>
          <t>Pass</t>
        </is>
      </c>
      <c r="D5" s="11" t="inlineStr">
        <is>
          <t>Fail</t>
        </is>
      </c>
      <c r="E5" s="11" t="inlineStr">
        <is>
          <t>Blocked</t>
        </is>
      </c>
      <c r="F5" s="11" t="inlineStr">
        <is>
          <t>Not tested</t>
        </is>
      </c>
      <c r="G5" s="11" t="inlineStr">
        <is>
          <t>Untested (blank)</t>
        </is>
      </c>
      <c r="H5" s="11" t="inlineStr">
        <is>
          <t>% complete</t>
        </is>
      </c>
    </row>
    <row r="6">
      <c r="A6" s="12" t="inlineStr">
        <is>
          <t>iOS</t>
        </is>
      </c>
      <c r="B6" s="13" t="n">
        <v>97</v>
      </c>
      <c r="C6" s="14">
        <f>COUNTIF('iOS'!$E$3:$E$107,"Pass")</f>
        <v/>
      </c>
      <c r="D6" s="14">
        <f>COUNTIF('iOS'!$E$3:$E$107,"Fail")</f>
        <v/>
      </c>
      <c r="E6" s="14">
        <f>COUNTIF('iOS'!$E$3:$E$107,"Blocked")</f>
        <v/>
      </c>
      <c r="F6" s="14">
        <f>COUNTIF('iOS'!$E$3:$E$107,"Not tested")</f>
        <v/>
      </c>
      <c r="G6" s="14">
        <f>$B6-COUNTA('iOS'!$E$3:$E$107)</f>
        <v/>
      </c>
      <c r="H6" s="15">
        <f>IF($B6=0,0,(COUNTIF('iOS'!$E$3:$E$107,"Pass")+COUNTIF('iOS'!$E$3:$E$107,"Fail")+COUNTIF('iOS'!$E$3:$E$107,"Blocked")+COUNTIF('iOS'!$E$3:$E$107,"Not tested"))/$B6)</f>
        <v/>
      </c>
    </row>
    <row r="7">
      <c r="A7" s="12" t="inlineStr">
        <is>
          <t>Android</t>
        </is>
      </c>
      <c r="B7" s="13" t="n">
        <v>97</v>
      </c>
      <c r="C7" s="14">
        <f>COUNTIF('Android'!$E$3:$E$107,"Pass")</f>
        <v/>
      </c>
      <c r="D7" s="14">
        <f>COUNTIF('Android'!$E$3:$E$107,"Fail")</f>
        <v/>
      </c>
      <c r="E7" s="14">
        <f>COUNTIF('Android'!$E$3:$E$107,"Blocked")</f>
        <v/>
      </c>
      <c r="F7" s="14">
        <f>COUNTIF('Android'!$E$3:$E$107,"Not tested")</f>
        <v/>
      </c>
      <c r="G7" s="14">
        <f>$B7-COUNTA('Android'!$E$3:$E$107)</f>
        <v/>
      </c>
      <c r="H7" s="15">
        <f>IF($B7=0,0,(COUNTIF('Android'!$E$3:$E$107,"Pass")+COUNTIF('Android'!$E$3:$E$107,"Fail")+COUNTIF('Android'!$E$3:$E$107,"Blocked")+COUNTIF('Android'!$E$3:$E$107,"Not tested"))/$B7)</f>
        <v/>
      </c>
    </row>
    <row r="8">
      <c r="A8" s="12" t="inlineStr">
        <is>
          <t>Desktop Chrome</t>
        </is>
      </c>
      <c r="B8" s="13" t="n">
        <v>97</v>
      </c>
      <c r="C8" s="14">
        <f>COUNTIF('Desktop Chrome'!$E$3:$E$107,"Pass")</f>
        <v/>
      </c>
      <c r="D8" s="14">
        <f>COUNTIF('Desktop Chrome'!$E$3:$E$107,"Fail")</f>
        <v/>
      </c>
      <c r="E8" s="14">
        <f>COUNTIF('Desktop Chrome'!$E$3:$E$107,"Blocked")</f>
        <v/>
      </c>
      <c r="F8" s="14">
        <f>COUNTIF('Desktop Chrome'!$E$3:$E$107,"Not tested")</f>
        <v/>
      </c>
      <c r="G8" s="14">
        <f>$B8-COUNTA('Desktop Chrome'!$E$3:$E$107)</f>
        <v/>
      </c>
      <c r="H8" s="15">
        <f>IF($B8=0,0,(COUNTIF('Desktop Chrome'!$E$3:$E$107,"Pass")+COUNTIF('Desktop Chrome'!$E$3:$E$107,"Fail")+COUNTIF('Desktop Chrome'!$E$3:$E$107,"Blocked")+COUNTIF('Desktop Chrome'!$E$3:$E$107,"Not tested"))/$B8)</f>
        <v/>
      </c>
    </row>
    <row r="9">
      <c r="A9" s="12" t="inlineStr">
        <is>
          <t>Desktop Firefox</t>
        </is>
      </c>
      <c r="B9" s="13" t="n">
        <v>97</v>
      </c>
      <c r="C9" s="14">
        <f>COUNTIF('Desktop Firefox'!$E$3:$E$107,"Pass")</f>
        <v/>
      </c>
      <c r="D9" s="14">
        <f>COUNTIF('Desktop Firefox'!$E$3:$E$107,"Fail")</f>
        <v/>
      </c>
      <c r="E9" s="14">
        <f>COUNTIF('Desktop Firefox'!$E$3:$E$107,"Blocked")</f>
        <v/>
      </c>
      <c r="F9" s="14">
        <f>COUNTIF('Desktop Firefox'!$E$3:$E$107,"Not tested")</f>
        <v/>
      </c>
      <c r="G9" s="14">
        <f>$B9-COUNTA('Desktop Firefox'!$E$3:$E$107)</f>
        <v/>
      </c>
      <c r="H9" s="15">
        <f>IF($B9=0,0,(COUNTIF('Desktop Firefox'!$E$3:$E$107,"Pass")+COUNTIF('Desktop Firefox'!$E$3:$E$107,"Fail")+COUNTIF('Desktop Firefox'!$E$3:$E$107,"Blocked")+COUNTIF('Desktop Firefox'!$E$3:$E$107,"Not tested"))/$B9)</f>
        <v/>
      </c>
    </row>
    <row r="10">
      <c r="A10" s="12" t="inlineStr">
        <is>
          <t>Desktop Other</t>
        </is>
      </c>
      <c r="B10" s="13" t="n">
        <v>97</v>
      </c>
      <c r="C10" s="14">
        <f>COUNTIF('Desktop Other'!$E$3:$E$107,"Pass")</f>
        <v/>
      </c>
      <c r="D10" s="14">
        <f>COUNTIF('Desktop Other'!$E$3:$E$107,"Fail")</f>
        <v/>
      </c>
      <c r="E10" s="14">
        <f>COUNTIF('Desktop Other'!$E$3:$E$107,"Blocked")</f>
        <v/>
      </c>
      <c r="F10" s="14">
        <f>COUNTIF('Desktop Other'!$E$3:$E$107,"Not tested")</f>
        <v/>
      </c>
      <c r="G10" s="14">
        <f>$B10-COUNTA('Desktop Other'!$E$3:$E$107)</f>
        <v/>
      </c>
      <c r="H10" s="15">
        <f>IF($B10=0,0,(COUNTIF('Desktop Other'!$E$3:$E$107,"Pass")+COUNTIF('Desktop Other'!$E$3:$E$107,"Fail")+COUNTIF('Desktop Other'!$E$3:$E$107,"Blocked")+COUNTIF('Desktop Other'!$E$3:$E$107,"Not tested"))/$B10)</f>
        <v/>
      </c>
    </row>
    <row r="12">
      <c r="A12" s="10" t="inlineStr">
        <is>
          <t>Pass count by persona × platform</t>
        </is>
      </c>
    </row>
    <row r="13">
      <c r="A13" s="11" t="inlineStr">
        <is>
          <t>Persona group</t>
        </is>
      </c>
      <c r="B13" s="11" t="inlineStr">
        <is>
          <t>iOS</t>
        </is>
      </c>
      <c r="C13" s="11" t="inlineStr">
        <is>
          <t>Android</t>
        </is>
      </c>
      <c r="D13" s="11" t="inlineStr">
        <is>
          <t>Desktop Chrome</t>
        </is>
      </c>
      <c r="E13" s="11" t="inlineStr">
        <is>
          <t>Desktop Firefox</t>
        </is>
      </c>
      <c r="F13" s="11" t="inlineStr">
        <is>
          <t>Desktop Other</t>
        </is>
      </c>
      <c r="G13" s="11" t="inlineStr">
        <is>
          <t>Cases</t>
        </is>
      </c>
    </row>
    <row r="14">
      <c r="A14" s="16" t="inlineStr">
        <is>
          <t>Account &amp; access (all roles)</t>
        </is>
      </c>
      <c r="B14" s="13">
        <f>COUNTIF('iOS'!$E$4:$E$9,"Pass")</f>
        <v/>
      </c>
      <c r="C14" s="13">
        <f>COUNTIF('Android'!$E$4:$E$9,"Pass")</f>
        <v/>
      </c>
      <c r="D14" s="13">
        <f>COUNTIF('Desktop Chrome'!$E$4:$E$9,"Pass")</f>
        <v/>
      </c>
      <c r="E14" s="13">
        <f>COUNTIF('Desktop Firefox'!$E$4:$E$9,"Pass")</f>
        <v/>
      </c>
      <c r="F14" s="13">
        <f>COUNTIF('Desktop Other'!$E$4:$E$9,"Pass")</f>
        <v/>
      </c>
      <c r="G14" s="13" t="n">
        <v>6</v>
      </c>
    </row>
    <row r="15">
      <c r="A15" s="16" t="inlineStr">
        <is>
          <t>Participant (grades 6–12)</t>
        </is>
      </c>
      <c r="B15" s="13">
        <f>COUNTIF('iOS'!$E$11:$E$34,"Pass")</f>
        <v/>
      </c>
      <c r="C15" s="13">
        <f>COUNTIF('Android'!$E$11:$E$34,"Pass")</f>
        <v/>
      </c>
      <c r="D15" s="13">
        <f>COUNTIF('Desktop Chrome'!$E$11:$E$34,"Pass")</f>
        <v/>
      </c>
      <c r="E15" s="13">
        <f>COUNTIF('Desktop Firefox'!$E$11:$E$34,"Pass")</f>
        <v/>
      </c>
      <c r="F15" s="13">
        <f>COUNTIF('Desktop Other'!$E$11:$E$34,"Pass")</f>
        <v/>
      </c>
      <c r="G15" s="13" t="n">
        <v>24</v>
      </c>
    </row>
    <row r="16">
      <c r="A16" s="16" t="inlineStr">
        <is>
          <t>Parent — elementary (grades 2–5 child)</t>
        </is>
      </c>
      <c r="B16" s="13">
        <f>COUNTIF('iOS'!$E$36:$E$50,"Pass")</f>
        <v/>
      </c>
      <c r="C16" s="13">
        <f>COUNTIF('Android'!$E$36:$E$50,"Pass")</f>
        <v/>
      </c>
      <c r="D16" s="13">
        <f>COUNTIF('Desktop Chrome'!$E$36:$E$50,"Pass")</f>
        <v/>
      </c>
      <c r="E16" s="13">
        <f>COUNTIF('Desktop Firefox'!$E$36:$E$50,"Pass")</f>
        <v/>
      </c>
      <c r="F16" s="13">
        <f>COUNTIF('Desktop Other'!$E$36:$E$50,"Pass")</f>
        <v/>
      </c>
      <c r="G16" s="13" t="n">
        <v>15</v>
      </c>
    </row>
    <row r="17">
      <c r="A17" s="16" t="inlineStr">
        <is>
          <t>Parent — viewer (grades 6–12 student)</t>
        </is>
      </c>
      <c r="B17" s="13">
        <f>COUNTIF('iOS'!$E$52:$E$56,"Pass")</f>
        <v/>
      </c>
      <c r="C17" s="13">
        <f>COUNTIF('Android'!$E$52:$E$56,"Pass")</f>
        <v/>
      </c>
      <c r="D17" s="13">
        <f>COUNTIF('Desktop Chrome'!$E$52:$E$56,"Pass")</f>
        <v/>
      </c>
      <c r="E17" s="13">
        <f>COUNTIF('Desktop Firefox'!$E$52:$E$56,"Pass")</f>
        <v/>
      </c>
      <c r="F17" s="13">
        <f>COUNTIF('Desktop Other'!$E$52:$E$56,"Pass")</f>
        <v/>
      </c>
      <c r="G17" s="13" t="n">
        <v>5</v>
      </c>
    </row>
    <row r="18">
      <c r="A18" s="16" t="inlineStr">
        <is>
          <t>Supervisor (created by an Admin)</t>
        </is>
      </c>
      <c r="B18" s="13">
        <f>COUNTIF('iOS'!$E$58:$E$76,"Pass")</f>
        <v/>
      </c>
      <c r="C18" s="13">
        <f>COUNTIF('Android'!$E$58:$E$76,"Pass")</f>
        <v/>
      </c>
      <c r="D18" s="13">
        <f>COUNTIF('Desktop Chrome'!$E$58:$E$76,"Pass")</f>
        <v/>
      </c>
      <c r="E18" s="13">
        <f>COUNTIF('Desktop Firefox'!$E$58:$E$76,"Pass")</f>
        <v/>
      </c>
      <c r="F18" s="13">
        <f>COUNTIF('Desktop Other'!$E$58:$E$76,"Pass")</f>
        <v/>
      </c>
      <c r="G18" s="13" t="n">
        <v>19</v>
      </c>
    </row>
    <row r="19">
      <c r="A19" s="16" t="inlineStr">
        <is>
          <t>Admin (org-scoped)</t>
        </is>
      </c>
      <c r="B19" s="13">
        <f>COUNTIF('iOS'!$E$78:$E$91,"Pass")</f>
        <v/>
      </c>
      <c r="C19" s="13">
        <f>COUNTIF('Android'!$E$78:$E$91,"Pass")</f>
        <v/>
      </c>
      <c r="D19" s="13">
        <f>COUNTIF('Desktop Chrome'!$E$78:$E$91,"Pass")</f>
        <v/>
      </c>
      <c r="E19" s="13">
        <f>COUNTIF('Desktop Firefox'!$E$78:$E$91,"Pass")</f>
        <v/>
      </c>
      <c r="F19" s="13">
        <f>COUNTIF('Desktop Other'!$E$78:$E$91,"Pass")</f>
        <v/>
      </c>
      <c r="G19" s="13" t="n">
        <v>14</v>
      </c>
    </row>
    <row r="20">
      <c r="A20" s="16" t="inlineStr">
        <is>
          <t>Super Admin (global)</t>
        </is>
      </c>
      <c r="B20" s="13">
        <f>COUNTIF('iOS'!$E$93:$E$104,"Pass")</f>
        <v/>
      </c>
      <c r="C20" s="13">
        <f>COUNTIF('Android'!$E$93:$E$104,"Pass")</f>
        <v/>
      </c>
      <c r="D20" s="13">
        <f>COUNTIF('Desktop Chrome'!$E$93:$E$104,"Pass")</f>
        <v/>
      </c>
      <c r="E20" s="13">
        <f>COUNTIF('Desktop Firefox'!$E$93:$E$104,"Pass")</f>
        <v/>
      </c>
      <c r="F20" s="13">
        <f>COUNTIF('Desktop Other'!$E$93:$E$104,"Pass")</f>
        <v/>
      </c>
      <c r="G20" s="13" t="n">
        <v>12</v>
      </c>
    </row>
    <row r="21">
      <c r="A21" s="16" t="inlineStr">
        <is>
          <t>Cross-cutting</t>
        </is>
      </c>
      <c r="B21" s="13">
        <f>COUNTIF('iOS'!$E$106:$E$107,"Pass")</f>
        <v/>
      </c>
      <c r="C21" s="13">
        <f>COUNTIF('Android'!$E$106:$E$107,"Pass")</f>
        <v/>
      </c>
      <c r="D21" s="13">
        <f>COUNTIF('Desktop Chrome'!$E$106:$E$107,"Pass")</f>
        <v/>
      </c>
      <c r="E21" s="13">
        <f>COUNTIF('Desktop Firefox'!$E$106:$E$107,"Pass")</f>
        <v/>
      </c>
      <c r="F21" s="13">
        <f>COUNTIF('Desktop Other'!$E$106:$E$107,"Pass")</f>
        <v/>
      </c>
      <c r="G21" s="13" t="n">
        <v>2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2" customWidth="1" min="3" max="3"/>
    <col width="52" customWidth="1" min="4" max="4"/>
    <col width="13" customWidth="1" min="5" max="5"/>
    <col width="34" customWidth="1" min="6" max="6"/>
    <col width="15" customWidth="1" min="7" max="7"/>
  </cols>
  <sheetData>
    <row r="1" ht="28" customHeight="1">
      <c r="A1" s="17" t="inlineStr">
        <is>
          <t>Test cases — iOS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8" t="inlineStr">
        <is>
          <t>ID</t>
        </is>
      </c>
      <c r="B2" s="18" t="inlineStr">
        <is>
          <t>User story</t>
        </is>
      </c>
      <c r="C2" s="18" t="inlineStr">
        <is>
          <t>Steps to perform</t>
        </is>
      </c>
      <c r="D2" s="18" t="inlineStr">
        <is>
          <t>Expected behavior (what you should see)</t>
        </is>
      </c>
      <c r="E2" s="18" t="inlineStr">
        <is>
          <t>Result</t>
        </is>
      </c>
      <c r="F2" s="18" t="inlineStr">
        <is>
          <t>Comments</t>
        </is>
      </c>
      <c r="G2" s="18" t="inlineStr">
        <is>
          <t>Tester</t>
        </is>
      </c>
    </row>
    <row r="3" ht="20" customHeight="1">
      <c r="A3" s="19" t="inlineStr">
        <is>
          <t>Account &amp; access (all roles)</t>
        </is>
      </c>
      <c r="B3" s="20" t="n"/>
      <c r="C3" s="20" t="n"/>
      <c r="D3" s="20" t="n"/>
      <c r="E3" s="20" t="n"/>
      <c r="F3" s="20" t="n"/>
      <c r="G3" s="20" t="n"/>
    </row>
    <row r="4" ht="42" customHeight="1">
      <c r="A4" s="21" t="inlineStr">
        <is>
          <t>AC1</t>
        </is>
      </c>
      <c r="B4" s="22" t="inlineStr">
        <is>
          <t>As any user, I want to log in with email and password.</t>
        </is>
      </c>
      <c r="C4" s="22" t="inlineStr">
        <is>
          <t>Enter valid email/password and Sign in.</t>
        </is>
      </c>
      <c r="D4" s="22" t="inlineStr">
        <is>
          <t>You're signed in and taken to your role's home.</t>
        </is>
      </c>
      <c r="E4" s="23" t="n"/>
      <c r="F4" s="22" t="n"/>
      <c r="G4" s="23" t="n"/>
    </row>
    <row r="5" ht="42" customHeight="1">
      <c r="A5" s="21" t="inlineStr">
        <is>
          <t>AC2</t>
        </is>
      </c>
      <c r="B5" s="22" t="inlineStr">
        <is>
          <t>As any user, I want to reveal my password while typing.</t>
        </is>
      </c>
      <c r="C5" s="22" t="inlineStr">
        <is>
          <t>Tap the eye icon in the password field.</t>
        </is>
      </c>
      <c r="D5" s="22" t="inlineStr">
        <is>
          <t>Password text toggles visible/hidden.</t>
        </is>
      </c>
      <c r="E5" s="23" t="n"/>
      <c r="F5" s="22" t="n"/>
      <c r="G5" s="23" t="n"/>
    </row>
    <row r="6" ht="42" customHeight="1">
      <c r="A6" s="21" t="inlineStr">
        <is>
          <t>AC3</t>
        </is>
      </c>
      <c r="B6" s="22" t="inlineStr">
        <is>
          <t>As any user, I want to reset a forgotten password by email.</t>
        </is>
      </c>
      <c r="C6" s="22" t="inlineStr">
        <is>
          <t>Forgot password → enter email → open email → follow link → set new password → sign in.</t>
        </is>
      </c>
      <c r="D6" s="22" t="inlineStr">
        <is>
          <t>Reset email arrives; link works; new password signs in; old one fails.</t>
        </is>
      </c>
      <c r="E6" s="23" t="n"/>
      <c r="F6" s="22" t="n"/>
      <c r="G6" s="23" t="n"/>
    </row>
    <row r="7" ht="42" customHeight="1">
      <c r="A7" s="21" t="inlineStr">
        <is>
          <t>AC4</t>
        </is>
      </c>
      <c r="B7" s="22" t="inlineStr">
        <is>
          <t>As any user, I want to sign out.</t>
        </is>
      </c>
      <c r="C7" s="22" t="inlineStr">
        <is>
          <t>Use Sign out.</t>
        </is>
      </c>
      <c r="D7" s="22" t="inlineStr">
        <is>
          <t>Logged out; returned to login/landing.</t>
        </is>
      </c>
      <c r="E7" s="23" t="n"/>
      <c r="F7" s="22" t="n"/>
      <c r="G7" s="23" t="n"/>
    </row>
    <row r="8" ht="42" customHeight="1">
      <c r="A8" s="21" t="inlineStr">
        <is>
          <t>AC5</t>
        </is>
      </c>
      <c r="B8" s="22" t="inlineStr">
        <is>
          <t>As any user, I want a clear error for bad credentials.</t>
        </is>
      </c>
      <c r="C8" s="22" t="inlineStr">
        <is>
          <t>Enter a wrong password.</t>
        </is>
      </c>
      <c r="D8" s="22" t="inlineStr">
        <is>
          <t>Clear 'login failed' message; stay on login.</t>
        </is>
      </c>
      <c r="E8" s="23" t="n"/>
      <c r="F8" s="22" t="n"/>
      <c r="G8" s="23" t="n"/>
    </row>
    <row r="9" ht="42" customHeight="1">
      <c r="A9" s="21" t="inlineStr">
        <is>
          <t>AC6</t>
        </is>
      </c>
      <c r="B9" s="22" t="inlineStr">
        <is>
          <t>As any user, my session persists and protected pages are guarded.</t>
        </is>
      </c>
      <c r="C9" s="22" t="inlineStr">
        <is>
          <t>Sign in, refresh; then sign out and open a protected URL directly.</t>
        </is>
      </c>
      <c r="D9" s="22" t="inlineStr">
        <is>
          <t>Refresh stays signed in; protected pages redirect to login when signed out.</t>
        </is>
      </c>
      <c r="E9" s="23" t="n"/>
      <c r="F9" s="22" t="n"/>
      <c r="G9" s="23" t="n"/>
    </row>
    <row r="10" ht="20" customHeight="1">
      <c r="A10" s="19" t="inlineStr">
        <is>
          <t>Participant (grades 6–12)</t>
        </is>
      </c>
      <c r="B10" s="20" t="n"/>
      <c r="C10" s="20" t="n"/>
      <c r="D10" s="20" t="n"/>
      <c r="E10" s="20" t="n"/>
      <c r="F10" s="20" t="n"/>
      <c r="G10" s="20" t="n"/>
    </row>
    <row r="11" ht="42" customHeight="1">
      <c r="A11" s="21" t="inlineStr">
        <is>
          <t>PT1</t>
        </is>
      </c>
      <c r="B11" s="22" t="inlineStr">
        <is>
          <t>As a student (6–12), I want to self-register with the form.</t>
        </is>
      </c>
      <c r="C11" s="22" t="inlineStr">
        <is>
          <t>Create account → student option; fill name, email, password, grade, school, parent email; submit.</t>
        </is>
      </c>
      <c r="D11" s="22" t="inlineStr">
        <is>
          <t>Account created; signed in on the participant dashboard.</t>
        </is>
      </c>
      <c r="E11" s="23" t="n"/>
      <c r="F11" s="22" t="n"/>
      <c r="G11" s="23" t="n"/>
    </row>
    <row r="12" ht="42" customHeight="1">
      <c r="A12" s="21" t="inlineStr">
        <is>
          <t>PT2</t>
        </is>
      </c>
      <c r="B12" s="22" t="inlineStr">
        <is>
          <t>As a student, I want to enter an organization code during sign-up.</t>
        </is>
      </c>
      <c r="C12" s="22" t="inlineStr">
        <is>
          <t>Enter a code in the Organization code field (optional) and submit.</t>
        </is>
      </c>
      <c r="D12" s="22" t="inlineStr">
        <is>
          <t>A valid code enrolls me in that org; a bad code is rejected; blank is allowed.</t>
        </is>
      </c>
      <c r="E12" s="23" t="n"/>
      <c r="F12" s="22" t="n"/>
      <c r="G12" s="23" t="n"/>
    </row>
    <row r="13" ht="42" customHeight="1">
      <c r="A13" s="21" t="inlineStr">
        <is>
          <t>PT3</t>
        </is>
      </c>
      <c r="B13" s="22" t="inlineStr">
        <is>
          <t>As a participant, I want the correct 7 left-menu tabs.</t>
        </is>
      </c>
      <c r="C13" s="22" t="inlineStr">
        <is>
          <t>Look at the left menu.</t>
        </is>
      </c>
      <c r="D13" s="22" t="inlineStr">
        <is>
          <t>Exactly: Dashboard, Sign Up, Submit My Hours, Leaderboard, My Reports, My Profile, Help.</t>
        </is>
      </c>
      <c r="E13" s="23" t="n"/>
      <c r="F13" s="22" t="n"/>
      <c r="G13" s="23" t="n"/>
    </row>
    <row r="14" ht="42" customHeight="1">
      <c r="A14" s="21" t="inlineStr">
        <is>
          <t>PT4</t>
        </is>
      </c>
      <c r="B14" s="22" t="inlineStr">
        <is>
          <t>As a participant, I want a dashboard of my hours and next medal.</t>
        </is>
      </c>
      <c r="C14" s="22" t="inlineStr">
        <is>
          <t>Open the dashboard.</t>
        </is>
      </c>
      <c r="D14" s="22" t="inlineStr">
        <is>
          <t>Approved-hours ring, next medal + hours to go, and quick actions.</t>
        </is>
      </c>
      <c r="E14" s="23" t="n"/>
      <c r="F14" s="22" t="n"/>
      <c r="G14" s="23" t="n"/>
    </row>
    <row r="15" ht="42" customHeight="1">
      <c r="A15" s="21" t="inlineStr">
        <is>
          <t>PT5</t>
        </is>
      </c>
      <c r="B15" s="22" t="inlineStr">
        <is>
          <t>As a participant, I want to find and sign up for an opportunity.</t>
        </is>
      </c>
      <c r="C15" s="22" t="inlineStr">
        <is>
          <t>Sign Up → Upcoming events → open one → Sign Up.</t>
        </is>
      </c>
      <c r="D15" s="22" t="inlineStr">
        <is>
          <t>Registered; confirmation; it moves to My sign-ups.</t>
        </is>
      </c>
      <c r="E15" s="23" t="n"/>
      <c r="F15" s="22" t="n"/>
      <c r="G15" s="23" t="n"/>
    </row>
    <row r="16" ht="42" customHeight="1">
      <c r="A16" s="21" t="inlineStr">
        <is>
          <t>PT6</t>
        </is>
      </c>
      <c r="B16" s="22" t="inlineStr">
        <is>
          <t>As a participant, I want to add a signed-up event to my calendar.</t>
        </is>
      </c>
      <c r="C16" s="22" t="inlineStr">
        <is>
          <t>My sign-ups → add to calendar.</t>
        </is>
      </c>
      <c r="D16" s="22" t="inlineStr">
        <is>
          <t>An .ics downloads with correct title/date/time/location.</t>
        </is>
      </c>
      <c r="E16" s="23" t="n"/>
      <c r="F16" s="22" t="n"/>
      <c r="G16" s="23" t="n"/>
    </row>
    <row r="17" ht="42" customHeight="1">
      <c r="A17" s="21" t="inlineStr">
        <is>
          <t>PT7</t>
        </is>
      </c>
      <c r="B17" s="22" t="inlineStr">
        <is>
          <t>As a participant, I want to see my past events.</t>
        </is>
      </c>
      <c r="C17" s="22" t="inlineStr">
        <is>
          <t>Sign Up → Past tab.</t>
        </is>
      </c>
      <c r="D17" s="22" t="inlineStr">
        <is>
          <t>Past events are listed.</t>
        </is>
      </c>
      <c r="E17" s="23" t="n"/>
      <c r="F17" s="22" t="n"/>
      <c r="G17" s="23" t="n"/>
    </row>
    <row r="18" ht="42" customHeight="1">
      <c r="A18" s="21" t="inlineStr">
        <is>
          <t>PT8</t>
        </is>
      </c>
      <c r="B18" s="22" t="inlineStr">
        <is>
          <t>As a participant, I want to search opportunities.</t>
        </is>
      </c>
      <c r="C18" s="22" t="inlineStr">
        <is>
          <t>Use the search box (name/description/location).</t>
        </is>
      </c>
      <c r="D18" s="22" t="inlineStr">
        <is>
          <t>List filters to matches.</t>
        </is>
      </c>
      <c r="E18" s="23" t="n"/>
      <c r="F18" s="22" t="n"/>
      <c r="G18" s="23" t="n"/>
    </row>
    <row r="19" ht="42" customHeight="1">
      <c r="A19" s="21" t="inlineStr">
        <is>
          <t>PT9</t>
        </is>
      </c>
      <c r="B19" s="22" t="inlineStr">
        <is>
          <t>As a participant, I want to withdraw from an event.</t>
        </is>
      </c>
      <c r="C19" s="22" t="inlineStr">
        <is>
          <t>My sign-ups → red Withdraw → confirm.</t>
        </is>
      </c>
      <c r="D19" s="22" t="inlineStr">
        <is>
          <t>Removed; can re-sign up later if space.</t>
        </is>
      </c>
      <c r="E19" s="23" t="n"/>
      <c r="F19" s="22" t="n"/>
      <c r="G19" s="23" t="n"/>
    </row>
    <row r="20" ht="42" customHeight="1">
      <c r="A20" s="21" t="inlineStr">
        <is>
          <t>PT10</t>
        </is>
      </c>
      <c r="B20" s="22" t="inlineStr">
        <is>
          <t>As a participant, I can only join grade-appropriate events.</t>
        </is>
      </c>
      <c r="C20" s="22" t="inlineStr">
        <is>
          <t>Try an event outside your grade range.</t>
        </is>
      </c>
      <c r="D20" s="22" t="inlineStr">
        <is>
          <t>Not available / blocked with a grade message.</t>
        </is>
      </c>
      <c r="E20" s="23" t="n"/>
      <c r="F20" s="22" t="n"/>
      <c r="G20" s="23" t="n"/>
    </row>
    <row r="21" ht="42" customHeight="1">
      <c r="A21" s="21" t="inlineStr">
        <is>
          <t>PT11</t>
        </is>
      </c>
      <c r="B21" s="22" t="inlineStr">
        <is>
          <t>As a participant, I only see my org's or open events.</t>
        </is>
      </c>
      <c r="C21" s="22" t="inlineStr">
        <is>
          <t>Browse opportunities.</t>
        </is>
      </c>
      <c r="D21" s="22" t="inlineStr">
        <is>
          <t>Open-to-all show; other orgs' private events don't appear.</t>
        </is>
      </c>
      <c r="E21" s="23" t="n"/>
      <c r="F21" s="22" t="n"/>
      <c r="G21" s="23" t="n"/>
    </row>
    <row r="22" ht="42" customHeight="1">
      <c r="A22" s="21" t="inlineStr">
        <is>
          <t>PT12</t>
        </is>
      </c>
      <c r="B22" s="22" t="inlineStr">
        <is>
          <t>As a participant, I want to check in on event day.</t>
        </is>
      </c>
      <c r="C22" s="22" t="inlineStr">
        <is>
          <t>On the day, within the window, use the Check-In panel.</t>
        </is>
      </c>
      <c r="D22" s="22" t="inlineStr">
        <is>
          <t>Check-in succeeds; before the window shows 'Not open yet'.</t>
        </is>
      </c>
      <c r="E22" s="23" t="n"/>
      <c r="F22" s="22" t="n"/>
      <c r="G22" s="23" t="n"/>
    </row>
    <row r="23" ht="42" customHeight="1">
      <c r="A23" s="21" t="inlineStr">
        <is>
          <t>PT13</t>
        </is>
      </c>
      <c r="B23" s="22" t="inlineStr">
        <is>
          <t>As a participant, I want to submit hours after an event.</t>
        </is>
      </c>
      <c r="C23" s="22" t="inlineStr">
        <is>
          <t>Submit My Hours → Post-event hours → enter hours → submit.</t>
        </is>
      </c>
      <c r="D23" s="22" t="inlineStr">
        <is>
          <t>Sent for approval; shows 'Waiting for review'.</t>
        </is>
      </c>
      <c r="E23" s="23" t="n"/>
      <c r="F23" s="22" t="n"/>
      <c r="G23" s="23" t="n"/>
    </row>
    <row r="24" ht="42" customHeight="1">
      <c r="A24" s="21" t="inlineStr">
        <is>
          <t>PT14</t>
        </is>
      </c>
      <c r="B24" s="22" t="inlineStr">
        <is>
          <t>As a participant who didn't sign up, I want to submit hours.</t>
        </is>
      </c>
      <c r="C24" s="22" t="inlineStr">
        <is>
          <t>Post-event hours → 'Attended without signing up?' → pick event → submit.</t>
        </is>
      </c>
      <c r="D24" s="22" t="inlineStr">
        <is>
          <t>Section always visible; eligible past events claimable, else empty-state note.</t>
        </is>
      </c>
      <c r="E24" s="23" t="n"/>
      <c r="F24" s="22" t="n"/>
      <c r="G24" s="23" t="n"/>
    </row>
    <row r="25" ht="42" customHeight="1">
      <c r="A25" s="21" t="inlineStr">
        <is>
          <t>PT15</t>
        </is>
      </c>
      <c r="B25" s="22" t="inlineStr">
        <is>
          <t>As a participant, I want to resubmit rejected hours.</t>
        </is>
      </c>
      <c r="C25" s="22" t="inlineStr">
        <is>
          <t>Open a rejected item → resubmit corrected hours.</t>
        </is>
      </c>
      <c r="D25" s="22" t="inlineStr">
        <is>
          <t>Returns to 'Waiting for review'.</t>
        </is>
      </c>
      <c r="E25" s="23" t="n"/>
      <c r="F25" s="22" t="n"/>
      <c r="G25" s="23" t="n"/>
    </row>
    <row r="26" ht="42" customHeight="1">
      <c r="A26" s="21" t="inlineStr">
        <is>
          <t>PT16</t>
        </is>
      </c>
      <c r="B26" s="22" t="inlineStr">
        <is>
          <t>As a participant, I want to log outside volunteering.</t>
        </is>
      </c>
      <c r="C26" s="22" t="inlineStr">
        <is>
          <t>Submit My Hours → Outside volunteering → org, EIN, date, hours, guidelines → submit.</t>
        </is>
      </c>
      <c r="D26" s="22" t="inlineStr">
        <is>
          <t>Recorded as pending external hours.</t>
        </is>
      </c>
      <c r="E26" s="23" t="n"/>
      <c r="F26" s="22" t="n"/>
      <c r="G26" s="23" t="n"/>
    </row>
    <row r="27" ht="42" customHeight="1">
      <c r="A27" s="21" t="inlineStr">
        <is>
          <t>PT17</t>
        </is>
      </c>
      <c r="B27" s="22" t="inlineStr">
        <is>
          <t>As a participant, proof is required over 5 external hours.</t>
        </is>
      </c>
      <c r="C27" s="22" t="inlineStr">
        <is>
          <t>Submit &gt;5h without proof, then with proof.</t>
        </is>
      </c>
      <c r="D27" s="22" t="inlineStr">
        <is>
          <t>Blocked without proof; submits with a photo/letter.</t>
        </is>
      </c>
      <c r="E27" s="23" t="n"/>
      <c r="F27" s="22" t="n"/>
      <c r="G27" s="23" t="n"/>
    </row>
    <row r="28" ht="42" customHeight="1">
      <c r="A28" s="21" t="inlineStr">
        <is>
          <t>PT18</t>
        </is>
      </c>
      <c r="B28" s="22" t="inlineStr">
        <is>
          <t>As a participant, I want an email when my hours are reviewed.</t>
        </is>
      </c>
      <c r="C28" s="22" t="inlineStr">
        <is>
          <t>Have a supervisor approve then reject one of your submissions.</t>
        </is>
      </c>
      <c r="D28" s="22" t="inlineStr">
        <is>
          <t>You (and your parent) receive approved / needs-attention emails.</t>
        </is>
      </c>
      <c r="E28" s="23" t="n"/>
      <c r="F28" s="22" t="n"/>
      <c r="G28" s="23" t="n"/>
    </row>
    <row r="29" ht="42" customHeight="1">
      <c r="A29" s="21" t="inlineStr">
        <is>
          <t>PT19</t>
        </is>
      </c>
      <c r="B29" s="22" t="inlineStr">
        <is>
          <t>As a participant, I want a reports view.</t>
        </is>
      </c>
      <c r="C29" s="22" t="inlineStr">
        <is>
          <t>Open My Reports.</t>
        </is>
      </c>
      <c r="D29" s="22" t="inlineStr">
        <is>
          <t>Total/in-program/external/waiting hours and medal progress bars.</t>
        </is>
      </c>
      <c r="E29" s="23" t="n"/>
      <c r="F29" s="22" t="n"/>
      <c r="G29" s="23" t="n"/>
    </row>
    <row r="30" ht="42" customHeight="1">
      <c r="A30" s="21" t="inlineStr">
        <is>
          <t>PT20</t>
        </is>
      </c>
      <c r="B30" s="22" t="inlineStr">
        <is>
          <t>As a participant, I want an official service record.</t>
        </is>
      </c>
      <c r="C30" s="22" t="inlineStr">
        <is>
          <t>My Reports → Verified service record.</t>
        </is>
      </c>
      <c r="D30" s="22" t="inlineStr">
        <is>
          <t>Itemized printable statement; Save-as-PDF works.</t>
        </is>
      </c>
      <c r="E30" s="23" t="n"/>
      <c r="F30" s="22" t="n"/>
      <c r="G30" s="23" t="n"/>
    </row>
    <row r="31" ht="42" customHeight="1">
      <c r="A31" s="21" t="inlineStr">
        <is>
          <t>PT21</t>
        </is>
      </c>
      <c r="B31" s="22" t="inlineStr">
        <is>
          <t>As a participant, I want leaderboard privacy.</t>
        </is>
      </c>
      <c r="C31" s="22" t="inlineStr">
        <is>
          <t>Set alias/hide in My Profile → view leaderboard.</t>
        </is>
      </c>
      <c r="D31" s="22" t="inlineStr">
        <is>
          <t>Shows alias or 'Anonymous' to others; you see yourself.</t>
        </is>
      </c>
      <c r="E31" s="23" t="n"/>
      <c r="F31" s="22" t="n"/>
      <c r="G31" s="23" t="n"/>
    </row>
    <row r="32" ht="42" customHeight="1">
      <c r="A32" s="21" t="inlineStr">
        <is>
          <t>PT22</t>
        </is>
      </c>
      <c r="B32" s="22" t="inlineStr">
        <is>
          <t>As a participant, I want to edit my profile.</t>
        </is>
      </c>
      <c r="C32" s="22" t="inlineStr">
        <is>
          <t>My Profile → change name/grade/school/affiliation → save.</t>
        </is>
      </c>
      <c r="D32" s="22" t="inlineStr">
        <is>
          <t>Saves; switching to a code-protected org needs a valid code.</t>
        </is>
      </c>
      <c r="E32" s="23" t="n"/>
      <c r="F32" s="22" t="n"/>
      <c r="G32" s="23" t="n"/>
    </row>
    <row r="33" ht="42" customHeight="1">
      <c r="A33" s="21" t="inlineStr">
        <is>
          <t>PT23</t>
        </is>
      </c>
      <c r="B33" s="22" t="inlineStr">
        <is>
          <t>As a participant, I want Help incl. join codes.</t>
        </is>
      </c>
      <c r="C33" s="22" t="inlineStr">
        <is>
          <t>Open Help; expand entries.</t>
        </is>
      </c>
      <c r="D33" s="22" t="inlineStr">
        <is>
          <t>Covers sign-up, hours, join codes, and 'email mcc@medinaacademy.org'.</t>
        </is>
      </c>
      <c r="E33" s="23" t="n"/>
      <c r="F33" s="22" t="n"/>
      <c r="G33" s="23" t="n"/>
    </row>
    <row r="34" ht="42" customHeight="1">
      <c r="A34" s="21" t="inlineStr">
        <is>
          <t>PT24</t>
        </is>
      </c>
      <c r="B34" s="22" t="inlineStr">
        <is>
          <t>As a participant, I want the recycling ribbon on every page.</t>
        </is>
      </c>
      <c r="C34" s="22" t="inlineStr">
        <is>
          <t>Navigate around signed in.</t>
        </is>
      </c>
      <c r="D34" s="22" t="inlineStr">
        <is>
          <t>Green ribbon with cans + 100,000 countdown on every page.</t>
        </is>
      </c>
      <c r="E34" s="23" t="n"/>
      <c r="F34" s="22" t="n"/>
      <c r="G34" s="23" t="n"/>
    </row>
    <row r="35" ht="20" customHeight="1">
      <c r="A35" s="19" t="inlineStr">
        <is>
          <t>Parent — elementary (grades 2–5 child)</t>
        </is>
      </c>
      <c r="B35" s="20" t="n"/>
      <c r="C35" s="20" t="n"/>
      <c r="D35" s="20" t="n"/>
      <c r="E35" s="20" t="n"/>
      <c r="F35" s="20" t="n"/>
      <c r="G35" s="20" t="n"/>
    </row>
    <row r="36" ht="42" customHeight="1">
      <c r="A36" s="21" t="inlineStr">
        <is>
          <t>PE1</t>
        </is>
      </c>
      <c r="B36" s="22" t="inlineStr">
        <is>
          <t>As a parent, I want to register to manage my grade 2–5 child.</t>
        </is>
      </c>
      <c r="C36" s="22" t="inlineStr">
        <is>
          <t>Create account → parent of a 2–5 child.</t>
        </is>
      </c>
      <c r="D36" s="22" t="inlineStr">
        <is>
          <t>Parent account created.</t>
        </is>
      </c>
      <c r="E36" s="23" t="n"/>
      <c r="F36" s="22" t="n"/>
      <c r="G36" s="23" t="n"/>
    </row>
    <row r="37" ht="42" customHeight="1">
      <c r="A37" s="21" t="inlineStr">
        <is>
          <t>PE2</t>
        </is>
      </c>
      <c r="B37" s="22" t="inlineStr">
        <is>
          <t>As an elementary parent, I want the right menu tabs.</t>
        </is>
      </c>
      <c r="C37" s="22" t="inlineStr">
        <is>
          <t>Look at the left menu.</t>
        </is>
      </c>
      <c r="D37" s="22" t="inlineStr">
        <is>
          <t>Dashboard and Find Opportunities (Help in footer).</t>
        </is>
      </c>
      <c r="E37" s="23" t="n"/>
      <c r="F37" s="22" t="n"/>
      <c r="G37" s="23" t="n"/>
    </row>
    <row r="38" ht="42" customHeight="1">
      <c r="A38" s="21" t="inlineStr">
        <is>
          <t>PE3</t>
        </is>
      </c>
      <c r="B38" s="22" t="inlineStr">
        <is>
          <t>As a parent, I want to add a managed child (2–5).</t>
        </is>
      </c>
      <c r="C38" s="22" t="inlineStr">
        <is>
          <t>Add child with name and grade (join code if required).</t>
        </is>
      </c>
      <c r="D38" s="22" t="inlineStr">
        <is>
          <t>Child added; no separate login.</t>
        </is>
      </c>
      <c r="E38" s="23" t="n"/>
      <c r="F38" s="22" t="n"/>
      <c r="G38" s="23" t="n"/>
    </row>
    <row r="39" ht="42" customHeight="1">
      <c r="A39" s="21" t="inlineStr">
        <is>
          <t>PE4</t>
        </is>
      </c>
      <c r="B39" s="22" t="inlineStr">
        <is>
          <t>As a parent with several kids, I want to switch child.</t>
        </is>
      </c>
      <c r="C39" s="22" t="inlineStr">
        <is>
          <t>Use the child picker.</t>
        </is>
      </c>
      <c r="D39" s="22" t="inlineStr">
        <is>
          <t>Selected child's context is used.</t>
        </is>
      </c>
      <c r="E39" s="23" t="n"/>
      <c r="F39" s="22" t="n"/>
      <c r="G39" s="23" t="n"/>
    </row>
    <row r="40" ht="42" customHeight="1">
      <c r="A40" s="21" t="inlineStr">
        <is>
          <t>PE5</t>
        </is>
      </c>
      <c r="B40" s="22" t="inlineStr">
        <is>
          <t>As a parent, I want to sign my child up.</t>
        </is>
      </c>
      <c r="C40" s="22" t="inlineStr">
        <is>
          <t>Find Opportunities → pick child → open event → sign up.</t>
        </is>
      </c>
      <c r="D40" s="22" t="inlineStr">
        <is>
          <t>Child registered; appears on dashboard with calendar.</t>
        </is>
      </c>
      <c r="E40" s="23" t="n"/>
      <c r="F40" s="22" t="n"/>
      <c r="G40" s="23" t="n"/>
    </row>
    <row r="41" ht="42" customHeight="1">
      <c r="A41" s="21" t="inlineStr">
        <is>
          <t>PE6</t>
        </is>
      </c>
      <c r="B41" s="22" t="inlineStr">
        <is>
          <t>As a parent, child sign-up respects grade/org limits.</t>
        </is>
      </c>
      <c r="C41" s="22" t="inlineStr">
        <is>
          <t>Try an ineligible event.</t>
        </is>
      </c>
      <c r="D41" s="22" t="inlineStr">
        <is>
          <t>Hidden or blocked with a message.</t>
        </is>
      </c>
      <c r="E41" s="23" t="n"/>
      <c r="F41" s="22" t="n"/>
      <c r="G41" s="23" t="n"/>
    </row>
    <row r="42" ht="42" customHeight="1">
      <c r="A42" s="21" t="inlineStr">
        <is>
          <t>PE7</t>
        </is>
      </c>
      <c r="B42" s="22" t="inlineStr">
        <is>
          <t>As a parent, I want to see my child's schedule.</t>
        </is>
      </c>
      <c r="C42" s="22" t="inlineStr">
        <is>
          <t>Open the dashboard.</t>
        </is>
      </c>
      <c r="D42" s="22" t="inlineStr">
        <is>
          <t>Child's upcoming events with add-to-calendar; new sign-ups flagged.</t>
        </is>
      </c>
      <c r="E42" s="23" t="n"/>
      <c r="F42" s="22" t="n"/>
      <c r="G42" s="23" t="n"/>
    </row>
    <row r="43" ht="42" customHeight="1">
      <c r="A43" s="21" t="inlineStr">
        <is>
          <t>PE8</t>
        </is>
      </c>
      <c r="B43" s="22" t="inlineStr">
        <is>
          <t>As a parent, I want to invite a co-guardian.</t>
        </is>
      </c>
      <c r="C43" s="22" t="inlineStr">
        <is>
          <t>Invite a co-guardian by email.</t>
        </is>
      </c>
      <c r="D43" s="22" t="inlineStr">
        <is>
          <t>Invite email sent; on registering with that email they share access.</t>
        </is>
      </c>
      <c r="E43" s="23" t="n"/>
      <c r="F43" s="22" t="n"/>
      <c r="G43" s="23" t="n"/>
    </row>
    <row r="44" ht="42" customHeight="1">
      <c r="A44" s="21" t="inlineStr">
        <is>
          <t>PE9</t>
        </is>
      </c>
      <c r="B44" s="22" t="inlineStr">
        <is>
          <t>As a parent, I want notice when my child signs up.</t>
        </is>
      </c>
      <c r="C44" s="22" t="inlineStr">
        <is>
          <t>Sign a child up (or have the other guardian do it).</t>
        </is>
      </c>
      <c r="D44" s="22" t="inlineStr">
        <is>
          <t>A notification/confirmation is produced.</t>
        </is>
      </c>
      <c r="E44" s="23" t="n"/>
      <c r="F44" s="22" t="n"/>
      <c r="G44" s="23" t="n"/>
    </row>
    <row r="45" ht="42" customHeight="1">
      <c r="A45" s="21" t="inlineStr">
        <is>
          <t>PE10</t>
        </is>
      </c>
      <c r="B45" s="22" t="inlineStr">
        <is>
          <t>As a parent, I want to submit my child's hours after an event (child has no login).</t>
        </is>
      </c>
      <c r="C45" s="22" t="inlineStr">
        <is>
          <t>Dashboard → the child's 'Submit hours (past events)' → enter hours → Submit.</t>
        </is>
      </c>
      <c r="D45" s="22" t="inlineStr">
        <is>
          <t>Hours go to the supervisor for approval; status shows 'Waiting for review'.</t>
        </is>
      </c>
      <c r="E45" s="23" t="n"/>
      <c r="F45" s="22" t="n"/>
      <c r="G45" s="23" t="n"/>
    </row>
    <row r="46" ht="42" customHeight="1">
      <c r="A46" s="21" t="inlineStr">
        <is>
          <t>PE11</t>
        </is>
      </c>
      <c r="B46" s="22" t="inlineStr">
        <is>
          <t>As a parent, I want to resubmit my child's rejected hours.</t>
        </is>
      </c>
      <c r="C46" s="22" t="inlineStr">
        <is>
          <t>On a rejected past event, enter corrected hours → Resubmit.</t>
        </is>
      </c>
      <c r="D46" s="22" t="inlineStr">
        <is>
          <t>Returns to 'Waiting for review'.</t>
        </is>
      </c>
      <c r="E46" s="23" t="n"/>
      <c r="F46" s="22" t="n"/>
      <c r="G46" s="23" t="n"/>
    </row>
    <row r="47" ht="42" customHeight="1">
      <c r="A47" s="21" t="inlineStr">
        <is>
          <t>PE12</t>
        </is>
      </c>
      <c r="B47" s="22" t="inlineStr">
        <is>
          <t>As a parent, I want to see each past event's hours status for my child.</t>
        </is>
      </c>
      <c r="C47" s="22" t="inlineStr">
        <is>
          <t>Look at the child's past events list.</t>
        </is>
      </c>
      <c r="D47" s="22" t="inlineStr">
        <is>
          <t>Each shows Approved / Waiting / Rejected as appropriate.</t>
        </is>
      </c>
      <c r="E47" s="23" t="n"/>
      <c r="F47" s="22" t="n"/>
      <c r="G47" s="23" t="n"/>
    </row>
    <row r="48" ht="42" customHeight="1">
      <c r="A48" s="21" t="inlineStr">
        <is>
          <t>PE13</t>
        </is>
      </c>
      <c r="B48" s="22" t="inlineStr">
        <is>
          <t>As a parent, all core participant actions are available to me for my child.</t>
        </is>
      </c>
      <c r="C48" s="22" t="inlineStr">
        <is>
          <t>Confirm: browse, sign up, withdraw, add-to-calendar, submit hours, view progress toward medals.</t>
        </is>
      </c>
      <c r="D48" s="22" t="inlineStr">
        <is>
          <t>All participant-style actions work on the child's behalf (the child never logs in).</t>
        </is>
      </c>
      <c r="E48" s="23" t="n"/>
      <c r="F48" s="22" t="n"/>
      <c r="G48" s="23" t="n"/>
    </row>
    <row r="49" ht="42" customHeight="1">
      <c r="A49" s="21" t="inlineStr">
        <is>
          <t>PE14</t>
        </is>
      </c>
      <c r="B49" s="22" t="inlineStr">
        <is>
          <t>As a parent, I want to log my child's outside/nonprofit volunteering.</t>
        </is>
      </c>
      <c r="C49" s="22" t="inlineStr">
        <is>
          <t>Child card → 'Outside hours' → fill activity, org, date, hours, supervisor → Submit.</t>
        </is>
      </c>
      <c r="D49" s="22" t="inlineStr">
        <is>
          <t>External hours submitted for the child and sent for supervisor approval (proof required over 5h).</t>
        </is>
      </c>
      <c r="E49" s="23" t="n"/>
      <c r="F49" s="22" t="n"/>
      <c r="G49" s="23" t="n"/>
    </row>
    <row r="50" ht="42" customHeight="1">
      <c r="A50" s="21" t="inlineStr">
        <is>
          <t>PE15</t>
        </is>
      </c>
      <c r="B50" s="22" t="inlineStr">
        <is>
          <t>As a parent, I want my child's verified service record.</t>
        </is>
      </c>
      <c r="C50" s="22" t="inlineStr">
        <is>
          <t>Child card → 'Service record'.</t>
        </is>
      </c>
      <c r="D50" s="22" t="inlineStr">
        <is>
          <t>The child's itemized record opens; Print / Save-as-PDF works.</t>
        </is>
      </c>
      <c r="E50" s="23" t="n"/>
      <c r="F50" s="22" t="n"/>
      <c r="G50" s="23" t="n"/>
    </row>
    <row r="51" ht="20" customHeight="1">
      <c r="A51" s="19" t="inlineStr">
        <is>
          <t>Parent — viewer (grades 6–12 student)</t>
        </is>
      </c>
      <c r="B51" s="20" t="n"/>
      <c r="C51" s="20" t="n"/>
      <c r="D51" s="20" t="n"/>
      <c r="E51" s="20" t="n"/>
      <c r="F51" s="20" t="n"/>
      <c r="G51" s="20" t="n"/>
    </row>
    <row r="52" ht="42" customHeight="1">
      <c r="A52" s="21" t="inlineStr">
        <is>
          <t>PV1</t>
        </is>
      </c>
      <c r="B52" s="22" t="inlineStr">
        <is>
          <t>As a parent of a 6–12 student, I want to register for view-only access.</t>
        </is>
      </c>
      <c r="C52" s="22" t="inlineStr">
        <is>
          <t>Create account → parent of a 6–12 student.</t>
        </is>
      </c>
      <c r="D52" s="22" t="inlineStr">
        <is>
          <t>Account created; no invite required to register.</t>
        </is>
      </c>
      <c r="E52" s="23" t="n"/>
      <c r="F52" s="22" t="n"/>
      <c r="G52" s="23" t="n"/>
    </row>
    <row r="53" ht="42" customHeight="1">
      <c r="A53" s="21" t="inlineStr">
        <is>
          <t>PV2</t>
        </is>
      </c>
      <c r="B53" s="22" t="inlineStr">
        <is>
          <t>As a viewer parent, my student links automatically by email.</t>
        </is>
      </c>
      <c r="C53" s="22" t="inlineStr">
        <is>
          <t>Have a student enter this exact email as their parent email (before or after you register).</t>
        </is>
      </c>
      <c r="D53" s="22" t="inlineStr">
        <is>
          <t>The student appears on your dashboard automatically; empty until then.</t>
        </is>
      </c>
      <c r="E53" s="23" t="n"/>
      <c r="F53" s="22" t="n"/>
      <c r="G53" s="23" t="n"/>
    </row>
    <row r="54" ht="42" customHeight="1">
      <c r="A54" s="21" t="inlineStr">
        <is>
          <t>PV3</t>
        </is>
      </c>
      <c r="B54" s="22" t="inlineStr">
        <is>
          <t>As a viewer parent, I want to see my student's schedule/progress.</t>
        </is>
      </c>
      <c r="C54" s="22" t="inlineStr">
        <is>
          <t>Open the dashboard.</t>
        </is>
      </c>
      <c r="D54" s="22" t="inlineStr">
        <is>
          <t>View-only schedule and progress.</t>
        </is>
      </c>
      <c r="E54" s="23" t="n"/>
      <c r="F54" s="22" t="n"/>
      <c r="G54" s="23" t="n"/>
    </row>
    <row r="55" ht="42" customHeight="1">
      <c r="A55" s="21" t="inlineStr">
        <is>
          <t>PV4</t>
        </is>
      </c>
      <c r="B55" s="22" t="inlineStr">
        <is>
          <t>As a viewer parent, I do NOT sign the student up.</t>
        </is>
      </c>
      <c r="C55" s="22" t="inlineStr">
        <is>
          <t>Look for a sign-up action.</t>
        </is>
      </c>
      <c r="D55" s="22" t="inlineStr">
        <is>
          <t>No sign-up on the student's behalf — the student self-serves.</t>
        </is>
      </c>
      <c r="E55" s="23" t="n"/>
      <c r="F55" s="22" t="n"/>
      <c r="G55" s="23" t="n"/>
    </row>
    <row r="56" ht="42" customHeight="1">
      <c r="A56" s="21" t="inlineStr">
        <is>
          <t>PV5</t>
        </is>
      </c>
      <c r="B56" s="22" t="inlineStr">
        <is>
          <t>As a viewer parent, I want to invite a co-guardian.</t>
        </is>
      </c>
      <c r="C56" s="22" t="inlineStr">
        <is>
          <t>Invite a co-guardian by email.</t>
        </is>
      </c>
      <c r="D56" s="22" t="inlineStr">
        <is>
          <t>Invite email sent; shared access on registration.</t>
        </is>
      </c>
      <c r="E56" s="23" t="n"/>
      <c r="F56" s="22" t="n"/>
      <c r="G56" s="23" t="n"/>
    </row>
    <row r="57" ht="20" customHeight="1">
      <c r="A57" s="19" t="inlineStr">
        <is>
          <t>Supervisor (created by an Admin)</t>
        </is>
      </c>
      <c r="B57" s="20" t="n"/>
      <c r="C57" s="20" t="n"/>
      <c r="D57" s="20" t="n"/>
      <c r="E57" s="20" t="n"/>
      <c r="F57" s="20" t="n"/>
      <c r="G57" s="20" t="n"/>
    </row>
    <row r="58" ht="42" customHeight="1">
      <c r="A58" s="21" t="inlineStr">
        <is>
          <t>SV1</t>
        </is>
      </c>
      <c r="B58" s="22" t="inlineStr">
        <is>
          <t>As the program, a supervisor cannot self-register.</t>
        </is>
      </c>
      <c r="C58" s="22" t="inlineStr">
        <is>
          <t>Review the sign-up options.</t>
        </is>
      </c>
      <c r="D58" s="22" t="inlineStr">
        <is>
          <t>No supervisor option exists on registration.</t>
        </is>
      </c>
      <c r="E58" s="23" t="n"/>
      <c r="F58" s="22" t="n"/>
      <c r="G58" s="23" t="n"/>
    </row>
    <row r="59" ht="42" customHeight="1">
      <c r="A59" s="21" t="inlineStr">
        <is>
          <t>SV2</t>
        </is>
      </c>
      <c r="B59" s="22" t="inlineStr">
        <is>
          <t>As a new supervisor, I get an invite to set my password.</t>
        </is>
      </c>
      <c r="C59" s="22" t="inlineStr">
        <is>
          <t>Have an Admin create your account; open the invite email; set password; sign in.</t>
        </is>
      </c>
      <c r="D59" s="22" t="inlineStr">
        <is>
          <t>Invite email arrives with a working set-password link; you can sign in.</t>
        </is>
      </c>
      <c r="E59" s="23" t="n"/>
      <c r="F59" s="22" t="n"/>
      <c r="G59" s="23" t="n"/>
    </row>
    <row r="60" ht="42" customHeight="1">
      <c r="A60" s="21" t="inlineStr">
        <is>
          <t>SV3</t>
        </is>
      </c>
      <c r="B60" s="22" t="inlineStr">
        <is>
          <t>As a supervisor, I want the correct 7 left-menu tabs.</t>
        </is>
      </c>
      <c r="C60" s="22" t="inlineStr">
        <is>
          <t>Look at the left menu.</t>
        </is>
      </c>
      <c r="D60" s="22" t="inlineStr">
        <is>
          <t>Dashboard, Pending Reviews, Reviewed History, My Events, All Opportunities, My Hours, Help.</t>
        </is>
      </c>
      <c r="E60" s="23" t="n"/>
      <c r="F60" s="22" t="n"/>
      <c r="G60" s="23" t="n"/>
    </row>
    <row r="61" ht="42" customHeight="1">
      <c r="A61" s="21" t="inlineStr">
        <is>
          <t>SV4</t>
        </is>
      </c>
      <c r="B61" s="22" t="inlineStr">
        <is>
          <t>As a supervisor, I want a dashboard.</t>
        </is>
      </c>
      <c r="C61" s="22" t="inlineStr">
        <is>
          <t>Open the dashboard.</t>
        </is>
      </c>
      <c r="D61" s="22" t="inlineStr">
        <is>
          <t>Review queue, approved/rejected counts, registrations, hours, upcoming events + Roster links.</t>
        </is>
      </c>
      <c r="E61" s="23" t="n"/>
      <c r="F61" s="22" t="n"/>
      <c r="G61" s="23" t="n"/>
    </row>
    <row r="62" ht="42" customHeight="1">
      <c r="A62" s="21" t="inlineStr">
        <is>
          <t>SV5</t>
        </is>
      </c>
      <c r="B62" s="22" t="inlineStr">
        <is>
          <t>As a supervisor, I want to approve hours.</t>
        </is>
      </c>
      <c r="C62" s="22" t="inlineStr">
        <is>
          <t>Pending Reviews → open → Approve.</t>
        </is>
      </c>
      <c r="D62" s="22" t="inlineStr">
        <is>
          <t>Approved; moves to Reviewed History; participant total updates; email sent.</t>
        </is>
      </c>
      <c r="E62" s="23" t="n"/>
      <c r="F62" s="22" t="n"/>
      <c r="G62" s="23" t="n"/>
    </row>
    <row r="63" ht="42" customHeight="1">
      <c r="A63" s="21" t="inlineStr">
        <is>
          <t>SV6</t>
        </is>
      </c>
      <c r="B63" s="22" t="inlineStr">
        <is>
          <t>As a supervisor, I want to reject hours with a reason.</t>
        </is>
      </c>
      <c r="C63" s="22" t="inlineStr">
        <is>
          <t>Reject without a reason, then with one.</t>
        </is>
      </c>
      <c r="D63" s="22" t="inlineStr">
        <is>
          <t>Blocked until a reason is given; then rejected and the participant notified.</t>
        </is>
      </c>
      <c r="E63" s="23" t="n"/>
      <c r="F63" s="22" t="n"/>
      <c r="G63" s="23" t="n"/>
    </row>
    <row r="64" ht="42" customHeight="1">
      <c r="A64" s="21" t="inlineStr">
        <is>
          <t>SV7</t>
        </is>
      </c>
      <c r="B64" s="22" t="inlineStr">
        <is>
          <t>As a supervisor, I want to review external submissions.</t>
        </is>
      </c>
      <c r="C64" s="22" t="inlineStr">
        <is>
          <t>Pending Reviews → external tab → approve/reject.</t>
        </is>
      </c>
      <c r="D64" s="22" t="inlineStr">
        <is>
          <t>External items reviewable, including any proof.</t>
        </is>
      </c>
      <c r="E64" s="23" t="n"/>
      <c r="F64" s="22" t="n"/>
      <c r="G64" s="23" t="n"/>
    </row>
    <row r="65" ht="42" customHeight="1">
      <c r="A65" s="21" t="inlineStr">
        <is>
          <t>SV8</t>
        </is>
      </c>
      <c r="B65" s="22" t="inlineStr">
        <is>
          <t>As a supervisor, I want to create an event.</t>
        </is>
      </c>
      <c r="C65" s="22" t="inlineStr">
        <is>
          <t>New Event → title, description, slot, address, date, times, capacity, grade limits → save.</t>
        </is>
      </c>
      <c r="D65" s="22" t="inlineStr">
        <is>
          <t>Credit auto-calculated from times; event created in My Events.</t>
        </is>
      </c>
      <c r="E65" s="23" t="n"/>
      <c r="F65" s="22" t="n"/>
      <c r="G65" s="23" t="n"/>
    </row>
    <row r="66" ht="42" customHeight="1">
      <c r="A66" s="21" t="inlineStr">
        <is>
          <t>SV9</t>
        </is>
      </c>
      <c r="B66" s="22" t="inlineStr">
        <is>
          <t>As a supervisor, I want to edit an event.</t>
        </is>
      </c>
      <c r="C66" s="22" t="inlineStr">
        <is>
          <t>My Events → edit → save.</t>
        </is>
      </c>
      <c r="D66" s="22" t="inlineStr">
        <is>
          <t>Changes persist and show to participants.</t>
        </is>
      </c>
      <c r="E66" s="23" t="n"/>
      <c r="F66" s="22" t="n"/>
      <c r="G66" s="23" t="n"/>
    </row>
    <row r="67" ht="42" customHeight="1">
      <c r="A67" s="21" t="inlineStr">
        <is>
          <t>SV10</t>
        </is>
      </c>
      <c r="B67" s="22" t="inlineStr">
        <is>
          <t>As a supervisor, I want to delete an event with no approved hours.</t>
        </is>
      </c>
      <c r="C67" s="22" t="inlineStr">
        <is>
          <t>Delete such an event → confirm.</t>
        </is>
      </c>
      <c r="D67" s="22" t="inlineStr">
        <is>
          <t>Event deleted.</t>
        </is>
      </c>
      <c r="E67" s="23" t="n"/>
      <c r="F67" s="22" t="n"/>
      <c r="G67" s="23" t="n"/>
    </row>
    <row r="68" ht="42" customHeight="1">
      <c r="A68" s="21" t="inlineStr">
        <is>
          <t>SV11</t>
        </is>
      </c>
      <c r="B68" s="22" t="inlineStr">
        <is>
          <t>As a supervisor, deleting an event with approved hours is blocked.</t>
        </is>
      </c>
      <c r="C68" s="22" t="inlineStr">
        <is>
          <t>Try to delete an event that has approved hours.</t>
        </is>
      </c>
      <c r="D68" s="22" t="inlineStr">
        <is>
          <t>Blocked with a message that approved hours must be preserved.</t>
        </is>
      </c>
      <c r="E68" s="23" t="n"/>
      <c r="F68" s="22" t="n"/>
      <c r="G68" s="23" t="n"/>
    </row>
    <row r="69" ht="42" customHeight="1">
      <c r="A69" s="21" t="inlineStr">
        <is>
          <t>SV12</t>
        </is>
      </c>
      <c r="B69" s="22" t="inlineStr">
        <is>
          <t>As a supervisor, I want to see who signed up.</t>
        </is>
      </c>
      <c r="C69" s="22" t="inlineStr">
        <is>
          <t>Open the event Roster.</t>
        </is>
      </c>
      <c r="D69" s="22" t="inlineStr">
        <is>
          <t>Registrants listed with grade and status.</t>
        </is>
      </c>
      <c r="E69" s="23" t="n"/>
      <c r="F69" s="22" t="n"/>
      <c r="G69" s="23" t="n"/>
    </row>
    <row r="70" ht="42" customHeight="1">
      <c r="A70" s="21" t="inlineStr">
        <is>
          <t>SV13</t>
        </is>
      </c>
      <c r="B70" s="22" t="inlineStr">
        <is>
          <t>As a supervisor, I want to check people in / mark no-show.</t>
        </is>
      </c>
      <c r="C70" s="22" t="inlineStr">
        <is>
          <t>On the roster, Check in and Mark no-show.</t>
        </is>
      </c>
      <c r="D70" s="22" t="inlineStr">
        <is>
          <t>Status updates and persists.</t>
        </is>
      </c>
      <c r="E70" s="23" t="n"/>
      <c r="F70" s="22" t="n"/>
      <c r="G70" s="23" t="n"/>
    </row>
    <row r="71" ht="42" customHeight="1">
      <c r="A71" s="21" t="inlineStr">
        <is>
          <t>SV14</t>
        </is>
      </c>
      <c r="B71" s="22" t="inlineStr">
        <is>
          <t>As a supervisor, I want to message everyone signed up.</t>
        </is>
      </c>
      <c r="C71" s="22" t="inlineStr">
        <is>
          <t>Roster → Message attendees → subject+message → send (include guardians on).</t>
        </is>
      </c>
      <c r="D71" s="22" t="inlineStr">
        <is>
          <t>Each registrant (and guardians) emailed individually; recipient count shown.</t>
        </is>
      </c>
      <c r="E71" s="23" t="n"/>
      <c r="F71" s="22" t="n"/>
      <c r="G71" s="23" t="n"/>
    </row>
    <row r="72" ht="42" customHeight="1">
      <c r="A72" s="21" t="inlineStr">
        <is>
          <t>SV15</t>
        </is>
      </c>
      <c r="B72" s="22" t="inlineStr">
        <is>
          <t>As a supervisor, I want a history of what I reviewed.</t>
        </is>
      </c>
      <c r="C72" s="22" t="inlineStr">
        <is>
          <t>Open Reviewed History.</t>
        </is>
      </c>
      <c r="D72" s="22" t="inlineStr">
        <is>
          <t>Every approved/rejected item with dates and volunteers.</t>
        </is>
      </c>
      <c r="E72" s="23" t="n"/>
      <c r="F72" s="22" t="n"/>
      <c r="G72" s="23" t="n"/>
    </row>
    <row r="73" ht="42" customHeight="1">
      <c r="A73" s="21" t="inlineStr">
        <is>
          <t>SV16</t>
        </is>
      </c>
      <c r="B73" s="22" t="inlineStr">
        <is>
          <t>As a supervisor, I want to browse all opportunities view-only.</t>
        </is>
      </c>
      <c r="C73" s="22" t="inlineStr">
        <is>
          <t>All Opportunities → search / upcoming-past.</t>
        </is>
      </c>
      <c r="D73" s="22" t="inlineStr">
        <is>
          <t>Every event listed read-only; can't edit others' events.</t>
        </is>
      </c>
      <c r="E73" s="23" t="n"/>
      <c r="F73" s="22" t="n"/>
      <c r="G73" s="23" t="n"/>
    </row>
    <row r="74" ht="42" customHeight="1">
      <c r="A74" s="21" t="inlineStr">
        <is>
          <t>SV17</t>
        </is>
      </c>
      <c r="B74" s="22" t="inlineStr">
        <is>
          <t>As a supervisor, I want to log my own adult hours.</t>
        </is>
      </c>
      <c r="C74" s="22" t="inlineStr">
        <is>
          <t>My Hours → log an activity, date, hours → save.</t>
        </is>
      </c>
      <c r="D74" s="22" t="inlineStr">
        <is>
          <t>Recorded instantly with a running total; clearly NOT part of the student competition.</t>
        </is>
      </c>
      <c r="E74" s="23" t="n"/>
      <c r="F74" s="22" t="n"/>
      <c r="G74" s="23" t="n"/>
    </row>
    <row r="75" ht="42" customHeight="1">
      <c r="A75" s="21" t="inlineStr">
        <is>
          <t>SV18</t>
        </is>
      </c>
      <c r="B75" s="22" t="inlineStr">
        <is>
          <t>As a supervisor, I want to delete an adult-hours entry.</t>
        </is>
      </c>
      <c r="C75" s="22" t="inlineStr">
        <is>
          <t>My Hours → delete an entry → confirm.</t>
        </is>
      </c>
      <c r="D75" s="22" t="inlineStr">
        <is>
          <t>Removed; total updates.</t>
        </is>
      </c>
      <c r="E75" s="23" t="n"/>
      <c r="F75" s="22" t="n"/>
      <c r="G75" s="23" t="n"/>
    </row>
    <row r="76" ht="42" customHeight="1">
      <c r="A76" s="21" t="inlineStr">
        <is>
          <t>SV19</t>
        </is>
      </c>
      <c r="B76" s="22" t="inlineStr">
        <is>
          <t>As a supervisor, I must NOT access user or org management.</t>
        </is>
      </c>
      <c r="C76" s="22" t="inlineStr">
        <is>
          <t>Look for Users / Organizations in the menu.</t>
        </is>
      </c>
      <c r="D76" s="22" t="inlineStr">
        <is>
          <t>Those tabs are absent; direct URLs are blocked.</t>
        </is>
      </c>
      <c r="E76" s="23" t="n"/>
      <c r="F76" s="22" t="n"/>
      <c r="G76" s="23" t="n"/>
    </row>
    <row r="77" ht="20" customHeight="1">
      <c r="A77" s="19" t="inlineStr">
        <is>
          <t>Admin (org-scoped)</t>
        </is>
      </c>
      <c r="B77" s="20" t="n"/>
      <c r="C77" s="20" t="n"/>
      <c r="D77" s="20" t="n"/>
      <c r="E77" s="20" t="n"/>
      <c r="F77" s="20" t="n"/>
      <c r="G77" s="20" t="n"/>
    </row>
    <row r="78" ht="42" customHeight="1">
      <c r="A78" s="21" t="inlineStr">
        <is>
          <t>AD1</t>
        </is>
      </c>
      <c r="B78" s="22" t="inlineStr">
        <is>
          <t>As an Admin, I want the correct menu tabs.</t>
        </is>
      </c>
      <c r="C78" s="22" t="inlineStr">
        <is>
          <t>Look at the left menu.</t>
        </is>
      </c>
      <c r="D78" s="22" t="inlineStr">
        <is>
          <t>Dashboard, Pending Reviews, Reviewed History, My Events, All Opportunities, Users, Organizations, My Hours, Help.</t>
        </is>
      </c>
      <c r="E78" s="23" t="n"/>
      <c r="F78" s="22" t="n"/>
      <c r="G78" s="23" t="n"/>
    </row>
    <row r="79" ht="42" customHeight="1">
      <c r="A79" s="21" t="inlineStr">
        <is>
          <t>AD2</t>
        </is>
      </c>
      <c r="B79" s="22" t="inlineStr">
        <is>
          <t>As an Admin, I can do everything a supervisor can.</t>
        </is>
      </c>
      <c r="C79" s="22" t="inlineStr">
        <is>
          <t>Spot-check: approve an item and create an event.</t>
        </is>
      </c>
      <c r="D79" s="22" t="inlineStr">
        <is>
          <t>Both work.</t>
        </is>
      </c>
      <c r="E79" s="23" t="n"/>
      <c r="F79" s="22" t="n"/>
      <c r="G79" s="23" t="n"/>
    </row>
    <row r="80" ht="42" customHeight="1">
      <c r="A80" s="21" t="inlineStr">
        <is>
          <t>AD3</t>
        </is>
      </c>
      <c r="B80" s="22" t="inlineStr">
        <is>
          <t>As an Admin, I only see my org's non-admin users.</t>
        </is>
      </c>
      <c r="C80" s="22" t="inlineStr">
        <is>
          <t>Open Users.</t>
        </is>
      </c>
      <c r="D80" s="22" t="inlineStr">
        <is>
          <t>Only participants/parents/supervisors in your org; no admins/super admins; no other orgs.</t>
        </is>
      </c>
      <c r="E80" s="23" t="n"/>
      <c r="F80" s="22" t="n"/>
      <c r="G80" s="23" t="n"/>
    </row>
    <row r="81" ht="42" customHeight="1">
      <c r="A81" s="21" t="inlineStr">
        <is>
          <t>AD4</t>
        </is>
      </c>
      <c r="B81" s="22" t="inlineStr">
        <is>
          <t>As an Admin, I want to add a supervisor.</t>
        </is>
      </c>
      <c r="C81" s="22" t="inlineStr">
        <is>
          <t>Users → Add user → Supervisor → save.</t>
        </is>
      </c>
      <c r="D81" s="22" t="inlineStr">
        <is>
          <t>Supervisor created, stamped to your org; invite email sent.</t>
        </is>
      </c>
      <c r="E81" s="23" t="n"/>
      <c r="F81" s="22" t="n"/>
      <c r="G81" s="23" t="n"/>
    </row>
    <row r="82" ht="42" customHeight="1">
      <c r="A82" s="21" t="inlineStr">
        <is>
          <t>AD5</t>
        </is>
      </c>
      <c r="B82" s="22" t="inlineStr">
        <is>
          <t>As an Admin, I want to create a participant as a fallback.</t>
        </is>
      </c>
      <c r="C82" s="22" t="inlineStr">
        <is>
          <t>Users → Add user → Participant → save.</t>
        </is>
      </c>
      <c r="D82" s="22" t="inlineStr">
        <is>
          <t>Participant created with a set-password invite (no silent password).</t>
        </is>
      </c>
      <c r="E82" s="23" t="n"/>
      <c r="F82" s="22" t="n"/>
      <c r="G82" s="23" t="n"/>
    </row>
    <row r="83" ht="42" customHeight="1">
      <c r="A83" s="21" t="inlineStr">
        <is>
          <t>AD6</t>
        </is>
      </c>
      <c r="B83" s="22" t="inlineStr">
        <is>
          <t>As an Admin, I want to grant participant hours.</t>
        </is>
      </c>
      <c r="C83" s="22" t="inlineStr">
        <is>
          <t>Open a participant in your org → Add hours.</t>
        </is>
      </c>
      <c r="D83" s="22" t="inlineStr">
        <is>
          <t>Hours auto-approved; count toward their total/medals.</t>
        </is>
      </c>
      <c r="E83" s="23" t="n"/>
      <c r="F83" s="22" t="n"/>
      <c r="G83" s="23" t="n"/>
    </row>
    <row r="84" ht="42" customHeight="1">
      <c r="A84" s="21" t="inlineStr">
        <is>
          <t>AD7</t>
        </is>
      </c>
      <c r="B84" s="22" t="inlineStr">
        <is>
          <t>As an Admin, I want a participant's service record.</t>
        </is>
      </c>
      <c r="C84" s="22" t="inlineStr">
        <is>
          <t>Users → Service record for a participant in your org.</t>
        </is>
      </c>
      <c r="D84" s="22" t="inlineStr">
        <is>
          <t>Record opens.</t>
        </is>
      </c>
      <c r="E84" s="23" t="n"/>
      <c r="F84" s="22" t="n"/>
      <c r="G84" s="23" t="n"/>
    </row>
    <row r="85" ht="42" customHeight="1">
      <c r="A85" s="21" t="inlineStr">
        <is>
          <t>AD8</t>
        </is>
      </c>
      <c r="B85" s="22" t="inlineStr">
        <is>
          <t>As an Admin, I want to edit/delete my org's users.</t>
        </is>
      </c>
      <c r="C85" s="22" t="inlineStr">
        <is>
          <t>Edit a name/phone; delete a test user.</t>
        </is>
      </c>
      <c r="D85" s="22" t="inlineStr">
        <is>
          <t>Changes apply within your org.</t>
        </is>
      </c>
      <c r="E85" s="23" t="n"/>
      <c r="F85" s="22" t="n"/>
      <c r="G85" s="23" t="n"/>
    </row>
    <row r="86" ht="42" customHeight="1">
      <c r="A86" s="21" t="inlineStr">
        <is>
          <t>AD9</t>
        </is>
      </c>
      <c r="B86" s="22" t="inlineStr">
        <is>
          <t>As an Admin, I must NOT act on users outside my org.</t>
        </is>
      </c>
      <c r="C86" s="22" t="inlineStr">
        <is>
          <t>Attempt to reach another org's user (e.g. direct URL).</t>
        </is>
      </c>
      <c r="D86" s="22" t="inlineStr">
        <is>
          <t>Blocked / not visible.</t>
        </is>
      </c>
      <c r="E86" s="23" t="n"/>
      <c r="F86" s="22" t="n"/>
      <c r="G86" s="23" t="n"/>
    </row>
    <row r="87" ht="42" customHeight="1">
      <c r="A87" s="21" t="inlineStr">
        <is>
          <t>AD10</t>
        </is>
      </c>
      <c r="B87" s="22" t="inlineStr">
        <is>
          <t>As an Admin, I cannot grant Admin access or manage admins.</t>
        </is>
      </c>
      <c r="C87" s="22" t="inlineStr">
        <is>
          <t>Look for the 'grant Admin access' action.</t>
        </is>
      </c>
      <c r="D87" s="22" t="inlineStr">
        <is>
          <t>No such button; attempts are blocked server-side.</t>
        </is>
      </c>
      <c r="E87" s="23" t="n"/>
      <c r="F87" s="22" t="n"/>
      <c r="G87" s="23" t="n"/>
    </row>
    <row r="88" ht="42" customHeight="1">
      <c r="A88" s="21" t="inlineStr">
        <is>
          <t>AD11</t>
        </is>
      </c>
      <c r="B88" s="22" t="inlineStr">
        <is>
          <t>As an Admin, I see and edit only my own organization.</t>
        </is>
      </c>
      <c r="C88" s="22" t="inlineStr">
        <is>
          <t>Open Organizations.</t>
        </is>
      </c>
      <c r="D88" s="22" t="inlineStr">
        <is>
          <t>Only your org shows; you can edit its settings.</t>
        </is>
      </c>
      <c r="E88" s="23" t="n"/>
      <c r="F88" s="22" t="n"/>
      <c r="G88" s="23" t="n"/>
    </row>
    <row r="89" ht="42" customHeight="1">
      <c r="A89" s="21" t="inlineStr">
        <is>
          <t>AD12</t>
        </is>
      </c>
      <c r="B89" s="22" t="inlineStr">
        <is>
          <t>As an Admin, I want to generate/rotate my org's join code.</t>
        </is>
      </c>
      <c r="C89" s="22" t="inlineStr">
        <is>
          <t>Organizations → set/generate a join code → save.</t>
        </is>
      </c>
      <c r="D89" s="22" t="inlineStr">
        <is>
          <t>Join code saved; usable at sign-up.</t>
        </is>
      </c>
      <c r="E89" s="23" t="n"/>
      <c r="F89" s="22" t="n"/>
      <c r="G89" s="23" t="n"/>
    </row>
    <row r="90" ht="42" customHeight="1">
      <c r="A90" s="21" t="inlineStr">
        <is>
          <t>AD13</t>
        </is>
      </c>
      <c r="B90" s="22" t="inlineStr">
        <is>
          <t>As an Admin, I cannot create organizations.</t>
        </is>
      </c>
      <c r="C90" s="22" t="inlineStr">
        <is>
          <t>Look for 'Add organization'.</t>
        </is>
      </c>
      <c r="D90" s="22" t="inlineStr">
        <is>
          <t>No Add button; creation blocked.</t>
        </is>
      </c>
      <c r="E90" s="23" t="n"/>
      <c r="F90" s="22" t="n"/>
      <c r="G90" s="23" t="n"/>
    </row>
    <row r="91" ht="42" customHeight="1">
      <c r="A91" s="21" t="inlineStr">
        <is>
          <t>AD14</t>
        </is>
      </c>
      <c r="B91" s="22" t="inlineStr">
        <is>
          <t>As an Admin, I cannot change the recycling cans total.</t>
        </is>
      </c>
      <c r="C91" s="22" t="inlineStr">
        <is>
          <t>Look for the cans/bin admin control.</t>
        </is>
      </c>
      <c r="D91" s="22" t="inlineStr">
        <is>
          <t>Not available (Super Admin only).</t>
        </is>
      </c>
      <c r="E91" s="23" t="n"/>
      <c r="F91" s="22" t="n"/>
      <c r="G91" s="23" t="n"/>
    </row>
    <row r="92" ht="20" customHeight="1">
      <c r="A92" s="19" t="inlineStr">
        <is>
          <t>Super Admin (global)</t>
        </is>
      </c>
      <c r="B92" s="20" t="n"/>
      <c r="C92" s="20" t="n"/>
      <c r="D92" s="20" t="n"/>
      <c r="E92" s="20" t="n"/>
      <c r="F92" s="20" t="n"/>
      <c r="G92" s="20" t="n"/>
    </row>
    <row r="93" ht="42" customHeight="1">
      <c r="A93" s="21" t="inlineStr">
        <is>
          <t>SA1</t>
        </is>
      </c>
      <c r="B93" s="22" t="inlineStr">
        <is>
          <t>As a Super Admin, I want the correct menu tabs.</t>
        </is>
      </c>
      <c r="C93" s="22" t="inlineStr">
        <is>
          <t>Look at the left menu.</t>
        </is>
      </c>
      <c r="D93" s="22" t="inlineStr">
        <is>
          <t>Dashboard, Reports, Users, Events, Organizations (Help in footer).</t>
        </is>
      </c>
      <c r="E93" s="23" t="n"/>
      <c r="F93" s="22" t="n"/>
      <c r="G93" s="23" t="n"/>
    </row>
    <row r="94" ht="42" customHeight="1">
      <c r="A94" s="21" t="inlineStr">
        <is>
          <t>SA2</t>
        </is>
      </c>
      <c r="B94" s="22" t="inlineStr">
        <is>
          <t>As a Super Admin, I can do everything an Admin can, across all orgs.</t>
        </is>
      </c>
      <c r="C94" s="22" t="inlineStr">
        <is>
          <t>Spot-check user + org actions on more than one org.</t>
        </is>
      </c>
      <c r="D94" s="22" t="inlineStr">
        <is>
          <t>All allowed regardless of org.</t>
        </is>
      </c>
      <c r="E94" s="23" t="n"/>
      <c r="F94" s="22" t="n"/>
      <c r="G94" s="23" t="n"/>
    </row>
    <row r="95" ht="42" customHeight="1">
      <c r="A95" s="21" t="inlineStr">
        <is>
          <t>SA3</t>
        </is>
      </c>
      <c r="B95" s="22" t="inlineStr">
        <is>
          <t>As a Super Admin, I want to create users incl. Supervisor and Super Admin.</t>
        </is>
      </c>
      <c r="C95" s="22" t="inlineStr">
        <is>
          <t>Users → Add user → each role.</t>
        </is>
      </c>
      <c r="D95" s="22" t="inlineStr">
        <is>
          <t>Participant/Supervisor/Super Admin options available; account created + invite email.</t>
        </is>
      </c>
      <c r="E95" s="23" t="n"/>
      <c r="F95" s="22" t="n"/>
      <c r="G95" s="23" t="n"/>
    </row>
    <row r="96" ht="42" customHeight="1">
      <c r="A96" s="21" t="inlineStr">
        <is>
          <t>SA4</t>
        </is>
      </c>
      <c r="B96" s="22" t="inlineStr">
        <is>
          <t>As a Super Admin, I want to grant/revoke Admin access.</t>
        </is>
      </c>
      <c r="C96" s="22" t="inlineStr">
        <is>
          <t>Open a user → grant Admin access → check org(s) → save; then uncheck all → save.</t>
        </is>
      </c>
      <c r="D96" s="22" t="inlineStr">
        <is>
          <t>Checking orgs makes an Admin; unchecking all reverts to participant.</t>
        </is>
      </c>
      <c r="E96" s="23" t="n"/>
      <c r="F96" s="22" t="n"/>
      <c r="G96" s="23" t="n"/>
    </row>
    <row r="97" ht="42" customHeight="1">
      <c r="A97" s="21" t="inlineStr">
        <is>
          <t>SA5</t>
        </is>
      </c>
      <c r="B97" s="22" t="inlineStr">
        <is>
          <t>As a Super Admin, I want to create organizations + join codes.</t>
        </is>
      </c>
      <c r="C97" s="22" t="inlineStr">
        <is>
          <t>Organizations → Add organization → set details + join code.</t>
        </is>
      </c>
      <c r="D97" s="22" t="inlineStr">
        <is>
          <t>Org created with its join code.</t>
        </is>
      </c>
      <c r="E97" s="23" t="n"/>
      <c r="F97" s="22" t="n"/>
      <c r="G97" s="23" t="n"/>
    </row>
    <row r="98" ht="42" customHeight="1">
      <c r="A98" s="21" t="inlineStr">
        <is>
          <t>SA6</t>
        </is>
      </c>
      <c r="B98" s="22" t="inlineStr">
        <is>
          <t>As a Super Admin, I want to find users by type.</t>
        </is>
      </c>
      <c r="C98" s="22" t="inlineStr">
        <is>
          <t>Users → role filter pills + search.</t>
        </is>
      </c>
      <c r="D98" s="22" t="inlineStr">
        <is>
          <t>Filter by role with counts; search by name/email across all orgs.</t>
        </is>
      </c>
      <c r="E98" s="23" t="n"/>
      <c r="F98" s="22" t="n"/>
      <c r="G98" s="23" t="n"/>
    </row>
    <row r="99" ht="42" customHeight="1">
      <c r="A99" s="21" t="inlineStr">
        <is>
          <t>SA7</t>
        </is>
      </c>
      <c r="B99" s="22" t="inlineStr">
        <is>
          <t>As a Super Admin, I want to search events.</t>
        </is>
      </c>
      <c r="C99" s="22" t="inlineStr">
        <is>
          <t>Events → search + date range; check supervisor/org per card.</t>
        </is>
      </c>
      <c r="D99" s="22" t="inlineStr">
        <is>
          <t>Filters work; each event shows supervisor and organization.</t>
        </is>
      </c>
      <c r="E99" s="23" t="n"/>
      <c r="F99" s="22" t="n"/>
      <c r="G99" s="23" t="n"/>
    </row>
    <row r="100" ht="42" customHeight="1">
      <c r="A100" s="21" t="inlineStr">
        <is>
          <t>SA8</t>
        </is>
      </c>
      <c r="B100" s="22" t="inlineStr">
        <is>
          <t>As a Super Admin, I want clear event-visibility labels.</t>
        </is>
      </c>
      <c r="C100" s="22" t="inlineStr">
        <is>
          <t>New Event → 'Who can see this'.</t>
        </is>
      </c>
      <c r="D100" s="22" t="inlineStr">
        <is>
          <t>'Open to all (community)' and 'Only &lt;org&gt; students' with helper text.</t>
        </is>
      </c>
      <c r="E100" s="23" t="n"/>
      <c r="F100" s="22" t="n"/>
      <c r="G100" s="23" t="n"/>
    </row>
    <row r="101" ht="42" customHeight="1">
      <c r="A101" s="21" t="inlineStr">
        <is>
          <t>SA9</t>
        </is>
      </c>
      <c r="B101" s="22" t="inlineStr">
        <is>
          <t>As a Super Admin, I want program-wide reports.</t>
        </is>
      </c>
      <c r="C101" s="22" t="inlineStr">
        <is>
          <t>Open Reports / Dashboard.</t>
        </is>
      </c>
      <c r="D101" s="22" t="inlineStr">
        <is>
          <t>Totals and charts across the whole program.</t>
        </is>
      </c>
      <c r="E101" s="23" t="n"/>
      <c r="F101" s="22" t="n"/>
      <c r="G101" s="23" t="n"/>
    </row>
    <row r="102" ht="42" customHeight="1">
      <c r="A102" s="21" t="inlineStr">
        <is>
          <t>SA10</t>
        </is>
      </c>
      <c r="B102" s="22" t="inlineStr">
        <is>
          <t>As a Super Admin, I want to verify email works.</t>
        </is>
      </c>
      <c r="C102" s="22" t="inlineStr">
        <is>
          <t>Dashboard → Send test email.</t>
        </is>
      </c>
      <c r="D102" s="22" t="inlineStr">
        <is>
          <t>Result shown (success or the exact failure reason).</t>
        </is>
      </c>
      <c r="E102" s="23" t="n"/>
      <c r="F102" s="22" t="n"/>
      <c r="G102" s="23" t="n"/>
    </row>
    <row r="103" ht="42" customHeight="1">
      <c r="A103" s="21" t="inlineStr">
        <is>
          <t>SA11</t>
        </is>
      </c>
      <c r="B103" s="22" t="inlineStr">
        <is>
          <t>As a Super Admin, I want to update the recycling cans total.</t>
        </is>
      </c>
      <c r="C103" s="22" t="inlineStr">
        <is>
          <t>Use the cans/bin admin control.</t>
        </is>
      </c>
      <c r="D103" s="22" t="inlineStr">
        <is>
          <t>Total updates; the ribbon reflects it.</t>
        </is>
      </c>
      <c r="E103" s="23" t="n"/>
      <c r="F103" s="22" t="n"/>
      <c r="G103" s="23" t="n"/>
    </row>
    <row r="104" ht="42" customHeight="1">
      <c r="A104" s="21" t="inlineStr">
        <is>
          <t>SA12</t>
        </is>
      </c>
      <c r="B104" s="22" t="inlineStr">
        <is>
          <t>As a Super Admin, I want hours + records for any user.</t>
        </is>
      </c>
      <c r="C104" s="22" t="inlineStr">
        <is>
          <t>Add manual hours / open service record for any participant.</t>
        </is>
      </c>
      <c r="D104" s="22" t="inlineStr">
        <is>
          <t>Works for any org.</t>
        </is>
      </c>
      <c r="E104" s="23" t="n"/>
      <c r="F104" s="22" t="n"/>
      <c r="G104" s="23" t="n"/>
    </row>
    <row r="105" ht="20" customHeight="1">
      <c r="A105" s="19" t="inlineStr">
        <is>
          <t>Cross-cutting</t>
        </is>
      </c>
      <c r="B105" s="20" t="n"/>
      <c r="C105" s="20" t="n"/>
      <c r="D105" s="20" t="n"/>
      <c r="E105" s="20" t="n"/>
      <c r="F105" s="20" t="n"/>
      <c r="G105" s="20" t="n"/>
    </row>
    <row r="106" ht="42" customHeight="1">
      <c r="A106" s="21" t="inlineStr">
        <is>
          <t>X1</t>
        </is>
      </c>
      <c r="B106" s="22" t="inlineStr">
        <is>
          <t>As a phone user, I want a usable mobile layout.</t>
        </is>
      </c>
      <c r="C106" s="22" t="inlineStr">
        <is>
          <t>Open at phone width; use the menu drawer.</t>
        </is>
      </c>
      <c r="D106" s="22" t="inlineStr">
        <is>
          <t>Layout adapts; drawer opens/closes; no horizontal scroll.</t>
        </is>
      </c>
      <c r="E106" s="23" t="n"/>
      <c r="F106" s="22" t="n"/>
      <c r="G106" s="23" t="n"/>
    </row>
    <row r="107" ht="42" customHeight="1">
      <c r="A107" s="21" t="inlineStr">
        <is>
          <t>X2</t>
        </is>
      </c>
      <c r="B107" s="22" t="inlineStr">
        <is>
          <t>As a visitor, I want the recycling ribbon on the login page.</t>
        </is>
      </c>
      <c r="C107" s="22" t="inlineStr">
        <is>
          <t>Open login signed out.</t>
        </is>
      </c>
      <c r="D107" s="22" t="inlineStr">
        <is>
          <t>Green ribbon shows on login.</t>
        </is>
      </c>
      <c r="E107" s="23" t="n"/>
      <c r="F107" s="22" t="n"/>
      <c r="G107" s="23" t="n"/>
    </row>
  </sheetData>
  <mergeCells count="9">
    <mergeCell ref="A1:G1"/>
    <mergeCell ref="A3:G3"/>
    <mergeCell ref="A77:G77"/>
    <mergeCell ref="A105:G105"/>
    <mergeCell ref="A35:G35"/>
    <mergeCell ref="A92:G92"/>
    <mergeCell ref="A57:G57"/>
    <mergeCell ref="A51:G51"/>
    <mergeCell ref="A10:G10"/>
  </mergeCells>
  <conditionalFormatting sqref="E4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11:E34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conditionalFormatting sqref="E36:E50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</conditionalFormatting>
  <conditionalFormatting sqref="E52:E56"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</conditionalFormatting>
  <conditionalFormatting sqref="E58:E76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</conditionalFormatting>
  <conditionalFormatting sqref="E78:E91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</conditionalFormatting>
  <conditionalFormatting sqref="E93:E104"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</conditionalFormatting>
  <conditionalFormatting sqref="E106:E107"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</conditionalFormatting>
  <dataValidations count="1">
    <dataValidation sqref="E4:E9 E11:E34 E36:E50 E52:E56 E58:E76 E78:E91 E93:E104 E106:E107" showDropDown="0" showInputMessage="0" showErrorMessage="0" allowBlank="1" type="list">
      <formula1>"Pass,Fail,Blocked,Not tested,N/A"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2" customWidth="1" min="3" max="3"/>
    <col width="52" customWidth="1" min="4" max="4"/>
    <col width="13" customWidth="1" min="5" max="5"/>
    <col width="34" customWidth="1" min="6" max="6"/>
    <col width="15" customWidth="1" min="7" max="7"/>
  </cols>
  <sheetData>
    <row r="1" ht="28" customHeight="1">
      <c r="A1" s="17" t="inlineStr">
        <is>
          <t>Test cases — Android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8" t="inlineStr">
        <is>
          <t>ID</t>
        </is>
      </c>
      <c r="B2" s="18" t="inlineStr">
        <is>
          <t>User story</t>
        </is>
      </c>
      <c r="C2" s="18" t="inlineStr">
        <is>
          <t>Steps to perform</t>
        </is>
      </c>
      <c r="D2" s="18" t="inlineStr">
        <is>
          <t>Expected behavior (what you should see)</t>
        </is>
      </c>
      <c r="E2" s="18" t="inlineStr">
        <is>
          <t>Result</t>
        </is>
      </c>
      <c r="F2" s="18" t="inlineStr">
        <is>
          <t>Comments</t>
        </is>
      </c>
      <c r="G2" s="18" t="inlineStr">
        <is>
          <t>Tester</t>
        </is>
      </c>
    </row>
    <row r="3" ht="20" customHeight="1">
      <c r="A3" s="19" t="inlineStr">
        <is>
          <t>Account &amp; access (all roles)</t>
        </is>
      </c>
      <c r="B3" s="20" t="n"/>
      <c r="C3" s="20" t="n"/>
      <c r="D3" s="20" t="n"/>
      <c r="E3" s="20" t="n"/>
      <c r="F3" s="20" t="n"/>
      <c r="G3" s="20" t="n"/>
    </row>
    <row r="4" ht="42" customHeight="1">
      <c r="A4" s="21" t="inlineStr">
        <is>
          <t>AC1</t>
        </is>
      </c>
      <c r="B4" s="22" t="inlineStr">
        <is>
          <t>As any user, I want to log in with email and password.</t>
        </is>
      </c>
      <c r="C4" s="22" t="inlineStr">
        <is>
          <t>Enter valid email/password and Sign in.</t>
        </is>
      </c>
      <c r="D4" s="22" t="inlineStr">
        <is>
          <t>You're signed in and taken to your role's home.</t>
        </is>
      </c>
      <c r="E4" s="23" t="n"/>
      <c r="F4" s="22" t="n"/>
      <c r="G4" s="23" t="n"/>
    </row>
    <row r="5" ht="42" customHeight="1">
      <c r="A5" s="21" t="inlineStr">
        <is>
          <t>AC2</t>
        </is>
      </c>
      <c r="B5" s="22" t="inlineStr">
        <is>
          <t>As any user, I want to reveal my password while typing.</t>
        </is>
      </c>
      <c r="C5" s="22" t="inlineStr">
        <is>
          <t>Tap the eye icon in the password field.</t>
        </is>
      </c>
      <c r="D5" s="22" t="inlineStr">
        <is>
          <t>Password text toggles visible/hidden.</t>
        </is>
      </c>
      <c r="E5" s="23" t="n"/>
      <c r="F5" s="22" t="n"/>
      <c r="G5" s="23" t="n"/>
    </row>
    <row r="6" ht="42" customHeight="1">
      <c r="A6" s="21" t="inlineStr">
        <is>
          <t>AC3</t>
        </is>
      </c>
      <c r="B6" s="22" t="inlineStr">
        <is>
          <t>As any user, I want to reset a forgotten password by email.</t>
        </is>
      </c>
      <c r="C6" s="22" t="inlineStr">
        <is>
          <t>Forgot password → enter email → open email → follow link → set new password → sign in.</t>
        </is>
      </c>
      <c r="D6" s="22" t="inlineStr">
        <is>
          <t>Reset email arrives; link works; new password signs in; old one fails.</t>
        </is>
      </c>
      <c r="E6" s="23" t="n"/>
      <c r="F6" s="22" t="n"/>
      <c r="G6" s="23" t="n"/>
    </row>
    <row r="7" ht="42" customHeight="1">
      <c r="A7" s="21" t="inlineStr">
        <is>
          <t>AC4</t>
        </is>
      </c>
      <c r="B7" s="22" t="inlineStr">
        <is>
          <t>As any user, I want to sign out.</t>
        </is>
      </c>
      <c r="C7" s="22" t="inlineStr">
        <is>
          <t>Use Sign out.</t>
        </is>
      </c>
      <c r="D7" s="22" t="inlineStr">
        <is>
          <t>Logged out; returned to login/landing.</t>
        </is>
      </c>
      <c r="E7" s="23" t="n"/>
      <c r="F7" s="22" t="n"/>
      <c r="G7" s="23" t="n"/>
    </row>
    <row r="8" ht="42" customHeight="1">
      <c r="A8" s="21" t="inlineStr">
        <is>
          <t>AC5</t>
        </is>
      </c>
      <c r="B8" s="22" t="inlineStr">
        <is>
          <t>As any user, I want a clear error for bad credentials.</t>
        </is>
      </c>
      <c r="C8" s="22" t="inlineStr">
        <is>
          <t>Enter a wrong password.</t>
        </is>
      </c>
      <c r="D8" s="22" t="inlineStr">
        <is>
          <t>Clear 'login failed' message; stay on login.</t>
        </is>
      </c>
      <c r="E8" s="23" t="n"/>
      <c r="F8" s="22" t="n"/>
      <c r="G8" s="23" t="n"/>
    </row>
    <row r="9" ht="42" customHeight="1">
      <c r="A9" s="21" t="inlineStr">
        <is>
          <t>AC6</t>
        </is>
      </c>
      <c r="B9" s="22" t="inlineStr">
        <is>
          <t>As any user, my session persists and protected pages are guarded.</t>
        </is>
      </c>
      <c r="C9" s="22" t="inlineStr">
        <is>
          <t>Sign in, refresh; then sign out and open a protected URL directly.</t>
        </is>
      </c>
      <c r="D9" s="22" t="inlineStr">
        <is>
          <t>Refresh stays signed in; protected pages redirect to login when signed out.</t>
        </is>
      </c>
      <c r="E9" s="23" t="n"/>
      <c r="F9" s="22" t="n"/>
      <c r="G9" s="23" t="n"/>
    </row>
    <row r="10" ht="20" customHeight="1">
      <c r="A10" s="19" t="inlineStr">
        <is>
          <t>Participant (grades 6–12)</t>
        </is>
      </c>
      <c r="B10" s="20" t="n"/>
      <c r="C10" s="20" t="n"/>
      <c r="D10" s="20" t="n"/>
      <c r="E10" s="20" t="n"/>
      <c r="F10" s="20" t="n"/>
      <c r="G10" s="20" t="n"/>
    </row>
    <row r="11" ht="42" customHeight="1">
      <c r="A11" s="21" t="inlineStr">
        <is>
          <t>PT1</t>
        </is>
      </c>
      <c r="B11" s="22" t="inlineStr">
        <is>
          <t>As a student (6–12), I want to self-register with the form.</t>
        </is>
      </c>
      <c r="C11" s="22" t="inlineStr">
        <is>
          <t>Create account → student option; fill name, email, password, grade, school, parent email; submit.</t>
        </is>
      </c>
      <c r="D11" s="22" t="inlineStr">
        <is>
          <t>Account created; signed in on the participant dashboard.</t>
        </is>
      </c>
      <c r="E11" s="23" t="n"/>
      <c r="F11" s="22" t="n"/>
      <c r="G11" s="23" t="n"/>
    </row>
    <row r="12" ht="42" customHeight="1">
      <c r="A12" s="21" t="inlineStr">
        <is>
          <t>PT2</t>
        </is>
      </c>
      <c r="B12" s="22" t="inlineStr">
        <is>
          <t>As a student, I want to enter an organization code during sign-up.</t>
        </is>
      </c>
      <c r="C12" s="22" t="inlineStr">
        <is>
          <t>Enter a code in the Organization code field (optional) and submit.</t>
        </is>
      </c>
      <c r="D12" s="22" t="inlineStr">
        <is>
          <t>A valid code enrolls me in that org; a bad code is rejected; blank is allowed.</t>
        </is>
      </c>
      <c r="E12" s="23" t="n"/>
      <c r="F12" s="22" t="n"/>
      <c r="G12" s="23" t="n"/>
    </row>
    <row r="13" ht="42" customHeight="1">
      <c r="A13" s="21" t="inlineStr">
        <is>
          <t>PT3</t>
        </is>
      </c>
      <c r="B13" s="22" t="inlineStr">
        <is>
          <t>As a participant, I want the correct 7 left-menu tabs.</t>
        </is>
      </c>
      <c r="C13" s="22" t="inlineStr">
        <is>
          <t>Look at the left menu.</t>
        </is>
      </c>
      <c r="D13" s="22" t="inlineStr">
        <is>
          <t>Exactly: Dashboard, Sign Up, Submit My Hours, Leaderboard, My Reports, My Profile, Help.</t>
        </is>
      </c>
      <c r="E13" s="23" t="n"/>
      <c r="F13" s="22" t="n"/>
      <c r="G13" s="23" t="n"/>
    </row>
    <row r="14" ht="42" customHeight="1">
      <c r="A14" s="21" t="inlineStr">
        <is>
          <t>PT4</t>
        </is>
      </c>
      <c r="B14" s="22" t="inlineStr">
        <is>
          <t>As a participant, I want a dashboard of my hours and next medal.</t>
        </is>
      </c>
      <c r="C14" s="22" t="inlineStr">
        <is>
          <t>Open the dashboard.</t>
        </is>
      </c>
      <c r="D14" s="22" t="inlineStr">
        <is>
          <t>Approved-hours ring, next medal + hours to go, and quick actions.</t>
        </is>
      </c>
      <c r="E14" s="23" t="n"/>
      <c r="F14" s="22" t="n"/>
      <c r="G14" s="23" t="n"/>
    </row>
    <row r="15" ht="42" customHeight="1">
      <c r="A15" s="21" t="inlineStr">
        <is>
          <t>PT5</t>
        </is>
      </c>
      <c r="B15" s="22" t="inlineStr">
        <is>
          <t>As a participant, I want to find and sign up for an opportunity.</t>
        </is>
      </c>
      <c r="C15" s="22" t="inlineStr">
        <is>
          <t>Sign Up → Upcoming events → open one → Sign Up.</t>
        </is>
      </c>
      <c r="D15" s="22" t="inlineStr">
        <is>
          <t>Registered; confirmation; it moves to My sign-ups.</t>
        </is>
      </c>
      <c r="E15" s="23" t="n"/>
      <c r="F15" s="22" t="n"/>
      <c r="G15" s="23" t="n"/>
    </row>
    <row r="16" ht="42" customHeight="1">
      <c r="A16" s="21" t="inlineStr">
        <is>
          <t>PT6</t>
        </is>
      </c>
      <c r="B16" s="22" t="inlineStr">
        <is>
          <t>As a participant, I want to add a signed-up event to my calendar.</t>
        </is>
      </c>
      <c r="C16" s="22" t="inlineStr">
        <is>
          <t>My sign-ups → add to calendar.</t>
        </is>
      </c>
      <c r="D16" s="22" t="inlineStr">
        <is>
          <t>An .ics downloads with correct title/date/time/location.</t>
        </is>
      </c>
      <c r="E16" s="23" t="n"/>
      <c r="F16" s="22" t="n"/>
      <c r="G16" s="23" t="n"/>
    </row>
    <row r="17" ht="42" customHeight="1">
      <c r="A17" s="21" t="inlineStr">
        <is>
          <t>PT7</t>
        </is>
      </c>
      <c r="B17" s="22" t="inlineStr">
        <is>
          <t>As a participant, I want to see my past events.</t>
        </is>
      </c>
      <c r="C17" s="22" t="inlineStr">
        <is>
          <t>Sign Up → Past tab.</t>
        </is>
      </c>
      <c r="D17" s="22" t="inlineStr">
        <is>
          <t>Past events are listed.</t>
        </is>
      </c>
      <c r="E17" s="23" t="n"/>
      <c r="F17" s="22" t="n"/>
      <c r="G17" s="23" t="n"/>
    </row>
    <row r="18" ht="42" customHeight="1">
      <c r="A18" s="21" t="inlineStr">
        <is>
          <t>PT8</t>
        </is>
      </c>
      <c r="B18" s="22" t="inlineStr">
        <is>
          <t>As a participant, I want to search opportunities.</t>
        </is>
      </c>
      <c r="C18" s="22" t="inlineStr">
        <is>
          <t>Use the search box (name/description/location).</t>
        </is>
      </c>
      <c r="D18" s="22" t="inlineStr">
        <is>
          <t>List filters to matches.</t>
        </is>
      </c>
      <c r="E18" s="23" t="n"/>
      <c r="F18" s="22" t="n"/>
      <c r="G18" s="23" t="n"/>
    </row>
    <row r="19" ht="42" customHeight="1">
      <c r="A19" s="21" t="inlineStr">
        <is>
          <t>PT9</t>
        </is>
      </c>
      <c r="B19" s="22" t="inlineStr">
        <is>
          <t>As a participant, I want to withdraw from an event.</t>
        </is>
      </c>
      <c r="C19" s="22" t="inlineStr">
        <is>
          <t>My sign-ups → red Withdraw → confirm.</t>
        </is>
      </c>
      <c r="D19" s="22" t="inlineStr">
        <is>
          <t>Removed; can re-sign up later if space.</t>
        </is>
      </c>
      <c r="E19" s="23" t="n"/>
      <c r="F19" s="22" t="n"/>
      <c r="G19" s="23" t="n"/>
    </row>
    <row r="20" ht="42" customHeight="1">
      <c r="A20" s="21" t="inlineStr">
        <is>
          <t>PT10</t>
        </is>
      </c>
      <c r="B20" s="22" t="inlineStr">
        <is>
          <t>As a participant, I can only join grade-appropriate events.</t>
        </is>
      </c>
      <c r="C20" s="22" t="inlineStr">
        <is>
          <t>Try an event outside your grade range.</t>
        </is>
      </c>
      <c r="D20" s="22" t="inlineStr">
        <is>
          <t>Not available / blocked with a grade message.</t>
        </is>
      </c>
      <c r="E20" s="23" t="n"/>
      <c r="F20" s="22" t="n"/>
      <c r="G20" s="23" t="n"/>
    </row>
    <row r="21" ht="42" customHeight="1">
      <c r="A21" s="21" t="inlineStr">
        <is>
          <t>PT11</t>
        </is>
      </c>
      <c r="B21" s="22" t="inlineStr">
        <is>
          <t>As a participant, I only see my org's or open events.</t>
        </is>
      </c>
      <c r="C21" s="22" t="inlineStr">
        <is>
          <t>Browse opportunities.</t>
        </is>
      </c>
      <c r="D21" s="22" t="inlineStr">
        <is>
          <t>Open-to-all show; other orgs' private events don't appear.</t>
        </is>
      </c>
      <c r="E21" s="23" t="n"/>
      <c r="F21" s="22" t="n"/>
      <c r="G21" s="23" t="n"/>
    </row>
    <row r="22" ht="42" customHeight="1">
      <c r="A22" s="21" t="inlineStr">
        <is>
          <t>PT12</t>
        </is>
      </c>
      <c r="B22" s="22" t="inlineStr">
        <is>
          <t>As a participant, I want to check in on event day.</t>
        </is>
      </c>
      <c r="C22" s="22" t="inlineStr">
        <is>
          <t>On the day, within the window, use the Check-In panel.</t>
        </is>
      </c>
      <c r="D22" s="22" t="inlineStr">
        <is>
          <t>Check-in succeeds; before the window shows 'Not open yet'.</t>
        </is>
      </c>
      <c r="E22" s="23" t="n"/>
      <c r="F22" s="22" t="n"/>
      <c r="G22" s="23" t="n"/>
    </row>
    <row r="23" ht="42" customHeight="1">
      <c r="A23" s="21" t="inlineStr">
        <is>
          <t>PT13</t>
        </is>
      </c>
      <c r="B23" s="22" t="inlineStr">
        <is>
          <t>As a participant, I want to submit hours after an event.</t>
        </is>
      </c>
      <c r="C23" s="22" t="inlineStr">
        <is>
          <t>Submit My Hours → Post-event hours → enter hours → submit.</t>
        </is>
      </c>
      <c r="D23" s="22" t="inlineStr">
        <is>
          <t>Sent for approval; shows 'Waiting for review'.</t>
        </is>
      </c>
      <c r="E23" s="23" t="n"/>
      <c r="F23" s="22" t="n"/>
      <c r="G23" s="23" t="n"/>
    </row>
    <row r="24" ht="42" customHeight="1">
      <c r="A24" s="21" t="inlineStr">
        <is>
          <t>PT14</t>
        </is>
      </c>
      <c r="B24" s="22" t="inlineStr">
        <is>
          <t>As a participant who didn't sign up, I want to submit hours.</t>
        </is>
      </c>
      <c r="C24" s="22" t="inlineStr">
        <is>
          <t>Post-event hours → 'Attended without signing up?' → pick event → submit.</t>
        </is>
      </c>
      <c r="D24" s="22" t="inlineStr">
        <is>
          <t>Section always visible; eligible past events claimable, else empty-state note.</t>
        </is>
      </c>
      <c r="E24" s="23" t="n"/>
      <c r="F24" s="22" t="n"/>
      <c r="G24" s="23" t="n"/>
    </row>
    <row r="25" ht="42" customHeight="1">
      <c r="A25" s="21" t="inlineStr">
        <is>
          <t>PT15</t>
        </is>
      </c>
      <c r="B25" s="22" t="inlineStr">
        <is>
          <t>As a participant, I want to resubmit rejected hours.</t>
        </is>
      </c>
      <c r="C25" s="22" t="inlineStr">
        <is>
          <t>Open a rejected item → resubmit corrected hours.</t>
        </is>
      </c>
      <c r="D25" s="22" t="inlineStr">
        <is>
          <t>Returns to 'Waiting for review'.</t>
        </is>
      </c>
      <c r="E25" s="23" t="n"/>
      <c r="F25" s="22" t="n"/>
      <c r="G25" s="23" t="n"/>
    </row>
    <row r="26" ht="42" customHeight="1">
      <c r="A26" s="21" t="inlineStr">
        <is>
          <t>PT16</t>
        </is>
      </c>
      <c r="B26" s="22" t="inlineStr">
        <is>
          <t>As a participant, I want to log outside volunteering.</t>
        </is>
      </c>
      <c r="C26" s="22" t="inlineStr">
        <is>
          <t>Submit My Hours → Outside volunteering → org, EIN, date, hours, guidelines → submit.</t>
        </is>
      </c>
      <c r="D26" s="22" t="inlineStr">
        <is>
          <t>Recorded as pending external hours.</t>
        </is>
      </c>
      <c r="E26" s="23" t="n"/>
      <c r="F26" s="22" t="n"/>
      <c r="G26" s="23" t="n"/>
    </row>
    <row r="27" ht="42" customHeight="1">
      <c r="A27" s="21" t="inlineStr">
        <is>
          <t>PT17</t>
        </is>
      </c>
      <c r="B27" s="22" t="inlineStr">
        <is>
          <t>As a participant, proof is required over 5 external hours.</t>
        </is>
      </c>
      <c r="C27" s="22" t="inlineStr">
        <is>
          <t>Submit &gt;5h without proof, then with proof.</t>
        </is>
      </c>
      <c r="D27" s="22" t="inlineStr">
        <is>
          <t>Blocked without proof; submits with a photo/letter.</t>
        </is>
      </c>
      <c r="E27" s="23" t="n"/>
      <c r="F27" s="22" t="n"/>
      <c r="G27" s="23" t="n"/>
    </row>
    <row r="28" ht="42" customHeight="1">
      <c r="A28" s="21" t="inlineStr">
        <is>
          <t>PT18</t>
        </is>
      </c>
      <c r="B28" s="22" t="inlineStr">
        <is>
          <t>As a participant, I want an email when my hours are reviewed.</t>
        </is>
      </c>
      <c r="C28" s="22" t="inlineStr">
        <is>
          <t>Have a supervisor approve then reject one of your submissions.</t>
        </is>
      </c>
      <c r="D28" s="22" t="inlineStr">
        <is>
          <t>You (and your parent) receive approved / needs-attention emails.</t>
        </is>
      </c>
      <c r="E28" s="23" t="n"/>
      <c r="F28" s="22" t="n"/>
      <c r="G28" s="23" t="n"/>
    </row>
    <row r="29" ht="42" customHeight="1">
      <c r="A29" s="21" t="inlineStr">
        <is>
          <t>PT19</t>
        </is>
      </c>
      <c r="B29" s="22" t="inlineStr">
        <is>
          <t>As a participant, I want a reports view.</t>
        </is>
      </c>
      <c r="C29" s="22" t="inlineStr">
        <is>
          <t>Open My Reports.</t>
        </is>
      </c>
      <c r="D29" s="22" t="inlineStr">
        <is>
          <t>Total/in-program/external/waiting hours and medal progress bars.</t>
        </is>
      </c>
      <c r="E29" s="23" t="n"/>
      <c r="F29" s="22" t="n"/>
      <c r="G29" s="23" t="n"/>
    </row>
    <row r="30" ht="42" customHeight="1">
      <c r="A30" s="21" t="inlineStr">
        <is>
          <t>PT20</t>
        </is>
      </c>
      <c r="B30" s="22" t="inlineStr">
        <is>
          <t>As a participant, I want an official service record.</t>
        </is>
      </c>
      <c r="C30" s="22" t="inlineStr">
        <is>
          <t>My Reports → Verified service record.</t>
        </is>
      </c>
      <c r="D30" s="22" t="inlineStr">
        <is>
          <t>Itemized printable statement; Save-as-PDF works.</t>
        </is>
      </c>
      <c r="E30" s="23" t="n"/>
      <c r="F30" s="22" t="n"/>
      <c r="G30" s="23" t="n"/>
    </row>
    <row r="31" ht="42" customHeight="1">
      <c r="A31" s="21" t="inlineStr">
        <is>
          <t>PT21</t>
        </is>
      </c>
      <c r="B31" s="22" t="inlineStr">
        <is>
          <t>As a participant, I want leaderboard privacy.</t>
        </is>
      </c>
      <c r="C31" s="22" t="inlineStr">
        <is>
          <t>Set alias/hide in My Profile → view leaderboard.</t>
        </is>
      </c>
      <c r="D31" s="22" t="inlineStr">
        <is>
          <t>Shows alias or 'Anonymous' to others; you see yourself.</t>
        </is>
      </c>
      <c r="E31" s="23" t="n"/>
      <c r="F31" s="22" t="n"/>
      <c r="G31" s="23" t="n"/>
    </row>
    <row r="32" ht="42" customHeight="1">
      <c r="A32" s="21" t="inlineStr">
        <is>
          <t>PT22</t>
        </is>
      </c>
      <c r="B32" s="22" t="inlineStr">
        <is>
          <t>As a participant, I want to edit my profile.</t>
        </is>
      </c>
      <c r="C32" s="22" t="inlineStr">
        <is>
          <t>My Profile → change name/grade/school/affiliation → save.</t>
        </is>
      </c>
      <c r="D32" s="22" t="inlineStr">
        <is>
          <t>Saves; switching to a code-protected org needs a valid code.</t>
        </is>
      </c>
      <c r="E32" s="23" t="n"/>
      <c r="F32" s="22" t="n"/>
      <c r="G32" s="23" t="n"/>
    </row>
    <row r="33" ht="42" customHeight="1">
      <c r="A33" s="21" t="inlineStr">
        <is>
          <t>PT23</t>
        </is>
      </c>
      <c r="B33" s="22" t="inlineStr">
        <is>
          <t>As a participant, I want Help incl. join codes.</t>
        </is>
      </c>
      <c r="C33" s="22" t="inlineStr">
        <is>
          <t>Open Help; expand entries.</t>
        </is>
      </c>
      <c r="D33" s="22" t="inlineStr">
        <is>
          <t>Covers sign-up, hours, join codes, and 'email mcc@medinaacademy.org'.</t>
        </is>
      </c>
      <c r="E33" s="23" t="n"/>
      <c r="F33" s="22" t="n"/>
      <c r="G33" s="23" t="n"/>
    </row>
    <row r="34" ht="42" customHeight="1">
      <c r="A34" s="21" t="inlineStr">
        <is>
          <t>PT24</t>
        </is>
      </c>
      <c r="B34" s="22" t="inlineStr">
        <is>
          <t>As a participant, I want the recycling ribbon on every page.</t>
        </is>
      </c>
      <c r="C34" s="22" t="inlineStr">
        <is>
          <t>Navigate around signed in.</t>
        </is>
      </c>
      <c r="D34" s="22" t="inlineStr">
        <is>
          <t>Green ribbon with cans + 100,000 countdown on every page.</t>
        </is>
      </c>
      <c r="E34" s="23" t="n"/>
      <c r="F34" s="22" t="n"/>
      <c r="G34" s="23" t="n"/>
    </row>
    <row r="35" ht="20" customHeight="1">
      <c r="A35" s="19" t="inlineStr">
        <is>
          <t>Parent — elementary (grades 2–5 child)</t>
        </is>
      </c>
      <c r="B35" s="20" t="n"/>
      <c r="C35" s="20" t="n"/>
      <c r="D35" s="20" t="n"/>
      <c r="E35" s="20" t="n"/>
      <c r="F35" s="20" t="n"/>
      <c r="G35" s="20" t="n"/>
    </row>
    <row r="36" ht="42" customHeight="1">
      <c r="A36" s="21" t="inlineStr">
        <is>
          <t>PE1</t>
        </is>
      </c>
      <c r="B36" s="22" t="inlineStr">
        <is>
          <t>As a parent, I want to register to manage my grade 2–5 child.</t>
        </is>
      </c>
      <c r="C36" s="22" t="inlineStr">
        <is>
          <t>Create account → parent of a 2–5 child.</t>
        </is>
      </c>
      <c r="D36" s="22" t="inlineStr">
        <is>
          <t>Parent account created.</t>
        </is>
      </c>
      <c r="E36" s="23" t="n"/>
      <c r="F36" s="22" t="n"/>
      <c r="G36" s="23" t="n"/>
    </row>
    <row r="37" ht="42" customHeight="1">
      <c r="A37" s="21" t="inlineStr">
        <is>
          <t>PE2</t>
        </is>
      </c>
      <c r="B37" s="22" t="inlineStr">
        <is>
          <t>As an elementary parent, I want the right menu tabs.</t>
        </is>
      </c>
      <c r="C37" s="22" t="inlineStr">
        <is>
          <t>Look at the left menu.</t>
        </is>
      </c>
      <c r="D37" s="22" t="inlineStr">
        <is>
          <t>Dashboard and Find Opportunities (Help in footer).</t>
        </is>
      </c>
      <c r="E37" s="23" t="n"/>
      <c r="F37" s="22" t="n"/>
      <c r="G37" s="23" t="n"/>
    </row>
    <row r="38" ht="42" customHeight="1">
      <c r="A38" s="21" t="inlineStr">
        <is>
          <t>PE3</t>
        </is>
      </c>
      <c r="B38" s="22" t="inlineStr">
        <is>
          <t>As a parent, I want to add a managed child (2–5).</t>
        </is>
      </c>
      <c r="C38" s="22" t="inlineStr">
        <is>
          <t>Add child with name and grade (join code if required).</t>
        </is>
      </c>
      <c r="D38" s="22" t="inlineStr">
        <is>
          <t>Child added; no separate login.</t>
        </is>
      </c>
      <c r="E38" s="23" t="n"/>
      <c r="F38" s="22" t="n"/>
      <c r="G38" s="23" t="n"/>
    </row>
    <row r="39" ht="42" customHeight="1">
      <c r="A39" s="21" t="inlineStr">
        <is>
          <t>PE4</t>
        </is>
      </c>
      <c r="B39" s="22" t="inlineStr">
        <is>
          <t>As a parent with several kids, I want to switch child.</t>
        </is>
      </c>
      <c r="C39" s="22" t="inlineStr">
        <is>
          <t>Use the child picker.</t>
        </is>
      </c>
      <c r="D39" s="22" t="inlineStr">
        <is>
          <t>Selected child's context is used.</t>
        </is>
      </c>
      <c r="E39" s="23" t="n"/>
      <c r="F39" s="22" t="n"/>
      <c r="G39" s="23" t="n"/>
    </row>
    <row r="40" ht="42" customHeight="1">
      <c r="A40" s="21" t="inlineStr">
        <is>
          <t>PE5</t>
        </is>
      </c>
      <c r="B40" s="22" t="inlineStr">
        <is>
          <t>As a parent, I want to sign my child up.</t>
        </is>
      </c>
      <c r="C40" s="22" t="inlineStr">
        <is>
          <t>Find Opportunities → pick child → open event → sign up.</t>
        </is>
      </c>
      <c r="D40" s="22" t="inlineStr">
        <is>
          <t>Child registered; appears on dashboard with calendar.</t>
        </is>
      </c>
      <c r="E40" s="23" t="n"/>
      <c r="F40" s="22" t="n"/>
      <c r="G40" s="23" t="n"/>
    </row>
    <row r="41" ht="42" customHeight="1">
      <c r="A41" s="21" t="inlineStr">
        <is>
          <t>PE6</t>
        </is>
      </c>
      <c r="B41" s="22" t="inlineStr">
        <is>
          <t>As a parent, child sign-up respects grade/org limits.</t>
        </is>
      </c>
      <c r="C41" s="22" t="inlineStr">
        <is>
          <t>Try an ineligible event.</t>
        </is>
      </c>
      <c r="D41" s="22" t="inlineStr">
        <is>
          <t>Hidden or blocked with a message.</t>
        </is>
      </c>
      <c r="E41" s="23" t="n"/>
      <c r="F41" s="22" t="n"/>
      <c r="G41" s="23" t="n"/>
    </row>
    <row r="42" ht="42" customHeight="1">
      <c r="A42" s="21" t="inlineStr">
        <is>
          <t>PE7</t>
        </is>
      </c>
      <c r="B42" s="22" t="inlineStr">
        <is>
          <t>As a parent, I want to see my child's schedule.</t>
        </is>
      </c>
      <c r="C42" s="22" t="inlineStr">
        <is>
          <t>Open the dashboard.</t>
        </is>
      </c>
      <c r="D42" s="22" t="inlineStr">
        <is>
          <t>Child's upcoming events with add-to-calendar; new sign-ups flagged.</t>
        </is>
      </c>
      <c r="E42" s="23" t="n"/>
      <c r="F42" s="22" t="n"/>
      <c r="G42" s="23" t="n"/>
    </row>
    <row r="43" ht="42" customHeight="1">
      <c r="A43" s="21" t="inlineStr">
        <is>
          <t>PE8</t>
        </is>
      </c>
      <c r="B43" s="22" t="inlineStr">
        <is>
          <t>As a parent, I want to invite a co-guardian.</t>
        </is>
      </c>
      <c r="C43" s="22" t="inlineStr">
        <is>
          <t>Invite a co-guardian by email.</t>
        </is>
      </c>
      <c r="D43" s="22" t="inlineStr">
        <is>
          <t>Invite email sent; on registering with that email they share access.</t>
        </is>
      </c>
      <c r="E43" s="23" t="n"/>
      <c r="F43" s="22" t="n"/>
      <c r="G43" s="23" t="n"/>
    </row>
    <row r="44" ht="42" customHeight="1">
      <c r="A44" s="21" t="inlineStr">
        <is>
          <t>PE9</t>
        </is>
      </c>
      <c r="B44" s="22" t="inlineStr">
        <is>
          <t>As a parent, I want notice when my child signs up.</t>
        </is>
      </c>
      <c r="C44" s="22" t="inlineStr">
        <is>
          <t>Sign a child up (or have the other guardian do it).</t>
        </is>
      </c>
      <c r="D44" s="22" t="inlineStr">
        <is>
          <t>A notification/confirmation is produced.</t>
        </is>
      </c>
      <c r="E44" s="23" t="n"/>
      <c r="F44" s="22" t="n"/>
      <c r="G44" s="23" t="n"/>
    </row>
    <row r="45" ht="42" customHeight="1">
      <c r="A45" s="21" t="inlineStr">
        <is>
          <t>PE10</t>
        </is>
      </c>
      <c r="B45" s="22" t="inlineStr">
        <is>
          <t>As a parent, I want to submit my child's hours after an event (child has no login).</t>
        </is>
      </c>
      <c r="C45" s="22" t="inlineStr">
        <is>
          <t>Dashboard → the child's 'Submit hours (past events)' → enter hours → Submit.</t>
        </is>
      </c>
      <c r="D45" s="22" t="inlineStr">
        <is>
          <t>Hours go to the supervisor for approval; status shows 'Waiting for review'.</t>
        </is>
      </c>
      <c r="E45" s="23" t="n"/>
      <c r="F45" s="22" t="n"/>
      <c r="G45" s="23" t="n"/>
    </row>
    <row r="46" ht="42" customHeight="1">
      <c r="A46" s="21" t="inlineStr">
        <is>
          <t>PE11</t>
        </is>
      </c>
      <c r="B46" s="22" t="inlineStr">
        <is>
          <t>As a parent, I want to resubmit my child's rejected hours.</t>
        </is>
      </c>
      <c r="C46" s="22" t="inlineStr">
        <is>
          <t>On a rejected past event, enter corrected hours → Resubmit.</t>
        </is>
      </c>
      <c r="D46" s="22" t="inlineStr">
        <is>
          <t>Returns to 'Waiting for review'.</t>
        </is>
      </c>
      <c r="E46" s="23" t="n"/>
      <c r="F46" s="22" t="n"/>
      <c r="G46" s="23" t="n"/>
    </row>
    <row r="47" ht="42" customHeight="1">
      <c r="A47" s="21" t="inlineStr">
        <is>
          <t>PE12</t>
        </is>
      </c>
      <c r="B47" s="22" t="inlineStr">
        <is>
          <t>As a parent, I want to see each past event's hours status for my child.</t>
        </is>
      </c>
      <c r="C47" s="22" t="inlineStr">
        <is>
          <t>Look at the child's past events list.</t>
        </is>
      </c>
      <c r="D47" s="22" t="inlineStr">
        <is>
          <t>Each shows Approved / Waiting / Rejected as appropriate.</t>
        </is>
      </c>
      <c r="E47" s="23" t="n"/>
      <c r="F47" s="22" t="n"/>
      <c r="G47" s="23" t="n"/>
    </row>
    <row r="48" ht="42" customHeight="1">
      <c r="A48" s="21" t="inlineStr">
        <is>
          <t>PE13</t>
        </is>
      </c>
      <c r="B48" s="22" t="inlineStr">
        <is>
          <t>As a parent, all core participant actions are available to me for my child.</t>
        </is>
      </c>
      <c r="C48" s="22" t="inlineStr">
        <is>
          <t>Confirm: browse, sign up, withdraw, add-to-calendar, submit hours, view progress toward medals.</t>
        </is>
      </c>
      <c r="D48" s="22" t="inlineStr">
        <is>
          <t>All participant-style actions work on the child's behalf (the child never logs in).</t>
        </is>
      </c>
      <c r="E48" s="23" t="n"/>
      <c r="F48" s="22" t="n"/>
      <c r="G48" s="23" t="n"/>
    </row>
    <row r="49" ht="42" customHeight="1">
      <c r="A49" s="21" t="inlineStr">
        <is>
          <t>PE14</t>
        </is>
      </c>
      <c r="B49" s="22" t="inlineStr">
        <is>
          <t>As a parent, I want to log my child's outside/nonprofit volunteering.</t>
        </is>
      </c>
      <c r="C49" s="22" t="inlineStr">
        <is>
          <t>Child card → 'Outside hours' → fill activity, org, date, hours, supervisor → Submit.</t>
        </is>
      </c>
      <c r="D49" s="22" t="inlineStr">
        <is>
          <t>External hours submitted for the child and sent for supervisor approval (proof required over 5h).</t>
        </is>
      </c>
      <c r="E49" s="23" t="n"/>
      <c r="F49" s="22" t="n"/>
      <c r="G49" s="23" t="n"/>
    </row>
    <row r="50" ht="42" customHeight="1">
      <c r="A50" s="21" t="inlineStr">
        <is>
          <t>PE15</t>
        </is>
      </c>
      <c r="B50" s="22" t="inlineStr">
        <is>
          <t>As a parent, I want my child's verified service record.</t>
        </is>
      </c>
      <c r="C50" s="22" t="inlineStr">
        <is>
          <t>Child card → 'Service record'.</t>
        </is>
      </c>
      <c r="D50" s="22" t="inlineStr">
        <is>
          <t>The child's itemized record opens; Print / Save-as-PDF works.</t>
        </is>
      </c>
      <c r="E50" s="23" t="n"/>
      <c r="F50" s="22" t="n"/>
      <c r="G50" s="23" t="n"/>
    </row>
    <row r="51" ht="20" customHeight="1">
      <c r="A51" s="19" t="inlineStr">
        <is>
          <t>Parent — viewer (grades 6–12 student)</t>
        </is>
      </c>
      <c r="B51" s="20" t="n"/>
      <c r="C51" s="20" t="n"/>
      <c r="D51" s="20" t="n"/>
      <c r="E51" s="20" t="n"/>
      <c r="F51" s="20" t="n"/>
      <c r="G51" s="20" t="n"/>
    </row>
    <row r="52" ht="42" customHeight="1">
      <c r="A52" s="21" t="inlineStr">
        <is>
          <t>PV1</t>
        </is>
      </c>
      <c r="B52" s="22" t="inlineStr">
        <is>
          <t>As a parent of a 6–12 student, I want to register for view-only access.</t>
        </is>
      </c>
      <c r="C52" s="22" t="inlineStr">
        <is>
          <t>Create account → parent of a 6–12 student.</t>
        </is>
      </c>
      <c r="D52" s="22" t="inlineStr">
        <is>
          <t>Account created; no invite required to register.</t>
        </is>
      </c>
      <c r="E52" s="23" t="n"/>
      <c r="F52" s="22" t="n"/>
      <c r="G52" s="23" t="n"/>
    </row>
    <row r="53" ht="42" customHeight="1">
      <c r="A53" s="21" t="inlineStr">
        <is>
          <t>PV2</t>
        </is>
      </c>
      <c r="B53" s="22" t="inlineStr">
        <is>
          <t>As a viewer parent, my student links automatically by email.</t>
        </is>
      </c>
      <c r="C53" s="22" t="inlineStr">
        <is>
          <t>Have a student enter this exact email as their parent email (before or after you register).</t>
        </is>
      </c>
      <c r="D53" s="22" t="inlineStr">
        <is>
          <t>The student appears on your dashboard automatically; empty until then.</t>
        </is>
      </c>
      <c r="E53" s="23" t="n"/>
      <c r="F53" s="22" t="n"/>
      <c r="G53" s="23" t="n"/>
    </row>
    <row r="54" ht="42" customHeight="1">
      <c r="A54" s="21" t="inlineStr">
        <is>
          <t>PV3</t>
        </is>
      </c>
      <c r="B54" s="22" t="inlineStr">
        <is>
          <t>As a viewer parent, I want to see my student's schedule/progress.</t>
        </is>
      </c>
      <c r="C54" s="22" t="inlineStr">
        <is>
          <t>Open the dashboard.</t>
        </is>
      </c>
      <c r="D54" s="22" t="inlineStr">
        <is>
          <t>View-only schedule and progress.</t>
        </is>
      </c>
      <c r="E54" s="23" t="n"/>
      <c r="F54" s="22" t="n"/>
      <c r="G54" s="23" t="n"/>
    </row>
    <row r="55" ht="42" customHeight="1">
      <c r="A55" s="21" t="inlineStr">
        <is>
          <t>PV4</t>
        </is>
      </c>
      <c r="B55" s="22" t="inlineStr">
        <is>
          <t>As a viewer parent, I do NOT sign the student up.</t>
        </is>
      </c>
      <c r="C55" s="22" t="inlineStr">
        <is>
          <t>Look for a sign-up action.</t>
        </is>
      </c>
      <c r="D55" s="22" t="inlineStr">
        <is>
          <t>No sign-up on the student's behalf — the student self-serves.</t>
        </is>
      </c>
      <c r="E55" s="23" t="n"/>
      <c r="F55" s="22" t="n"/>
      <c r="G55" s="23" t="n"/>
    </row>
    <row r="56" ht="42" customHeight="1">
      <c r="A56" s="21" t="inlineStr">
        <is>
          <t>PV5</t>
        </is>
      </c>
      <c r="B56" s="22" t="inlineStr">
        <is>
          <t>As a viewer parent, I want to invite a co-guardian.</t>
        </is>
      </c>
      <c r="C56" s="22" t="inlineStr">
        <is>
          <t>Invite a co-guardian by email.</t>
        </is>
      </c>
      <c r="D56" s="22" t="inlineStr">
        <is>
          <t>Invite email sent; shared access on registration.</t>
        </is>
      </c>
      <c r="E56" s="23" t="n"/>
      <c r="F56" s="22" t="n"/>
      <c r="G56" s="23" t="n"/>
    </row>
    <row r="57" ht="20" customHeight="1">
      <c r="A57" s="19" t="inlineStr">
        <is>
          <t>Supervisor (created by an Admin)</t>
        </is>
      </c>
      <c r="B57" s="20" t="n"/>
      <c r="C57" s="20" t="n"/>
      <c r="D57" s="20" t="n"/>
      <c r="E57" s="20" t="n"/>
      <c r="F57" s="20" t="n"/>
      <c r="G57" s="20" t="n"/>
    </row>
    <row r="58" ht="42" customHeight="1">
      <c r="A58" s="21" t="inlineStr">
        <is>
          <t>SV1</t>
        </is>
      </c>
      <c r="B58" s="22" t="inlineStr">
        <is>
          <t>As the program, a supervisor cannot self-register.</t>
        </is>
      </c>
      <c r="C58" s="22" t="inlineStr">
        <is>
          <t>Review the sign-up options.</t>
        </is>
      </c>
      <c r="D58" s="22" t="inlineStr">
        <is>
          <t>No supervisor option exists on registration.</t>
        </is>
      </c>
      <c r="E58" s="23" t="n"/>
      <c r="F58" s="22" t="n"/>
      <c r="G58" s="23" t="n"/>
    </row>
    <row r="59" ht="42" customHeight="1">
      <c r="A59" s="21" t="inlineStr">
        <is>
          <t>SV2</t>
        </is>
      </c>
      <c r="B59" s="22" t="inlineStr">
        <is>
          <t>As a new supervisor, I get an invite to set my password.</t>
        </is>
      </c>
      <c r="C59" s="22" t="inlineStr">
        <is>
          <t>Have an Admin create your account; open the invite email; set password; sign in.</t>
        </is>
      </c>
      <c r="D59" s="22" t="inlineStr">
        <is>
          <t>Invite email arrives with a working set-password link; you can sign in.</t>
        </is>
      </c>
      <c r="E59" s="23" t="n"/>
      <c r="F59" s="22" t="n"/>
      <c r="G59" s="23" t="n"/>
    </row>
    <row r="60" ht="42" customHeight="1">
      <c r="A60" s="21" t="inlineStr">
        <is>
          <t>SV3</t>
        </is>
      </c>
      <c r="B60" s="22" t="inlineStr">
        <is>
          <t>As a supervisor, I want the correct 7 left-menu tabs.</t>
        </is>
      </c>
      <c r="C60" s="22" t="inlineStr">
        <is>
          <t>Look at the left menu.</t>
        </is>
      </c>
      <c r="D60" s="22" t="inlineStr">
        <is>
          <t>Dashboard, Pending Reviews, Reviewed History, My Events, All Opportunities, My Hours, Help.</t>
        </is>
      </c>
      <c r="E60" s="23" t="n"/>
      <c r="F60" s="22" t="n"/>
      <c r="G60" s="23" t="n"/>
    </row>
    <row r="61" ht="42" customHeight="1">
      <c r="A61" s="21" t="inlineStr">
        <is>
          <t>SV4</t>
        </is>
      </c>
      <c r="B61" s="22" t="inlineStr">
        <is>
          <t>As a supervisor, I want a dashboard.</t>
        </is>
      </c>
      <c r="C61" s="22" t="inlineStr">
        <is>
          <t>Open the dashboard.</t>
        </is>
      </c>
      <c r="D61" s="22" t="inlineStr">
        <is>
          <t>Review queue, approved/rejected counts, registrations, hours, upcoming events + Roster links.</t>
        </is>
      </c>
      <c r="E61" s="23" t="n"/>
      <c r="F61" s="22" t="n"/>
      <c r="G61" s="23" t="n"/>
    </row>
    <row r="62" ht="42" customHeight="1">
      <c r="A62" s="21" t="inlineStr">
        <is>
          <t>SV5</t>
        </is>
      </c>
      <c r="B62" s="22" t="inlineStr">
        <is>
          <t>As a supervisor, I want to approve hours.</t>
        </is>
      </c>
      <c r="C62" s="22" t="inlineStr">
        <is>
          <t>Pending Reviews → open → Approve.</t>
        </is>
      </c>
      <c r="D62" s="22" t="inlineStr">
        <is>
          <t>Approved; moves to Reviewed History; participant total updates; email sent.</t>
        </is>
      </c>
      <c r="E62" s="23" t="n"/>
      <c r="F62" s="22" t="n"/>
      <c r="G62" s="23" t="n"/>
    </row>
    <row r="63" ht="42" customHeight="1">
      <c r="A63" s="21" t="inlineStr">
        <is>
          <t>SV6</t>
        </is>
      </c>
      <c r="B63" s="22" t="inlineStr">
        <is>
          <t>As a supervisor, I want to reject hours with a reason.</t>
        </is>
      </c>
      <c r="C63" s="22" t="inlineStr">
        <is>
          <t>Reject without a reason, then with one.</t>
        </is>
      </c>
      <c r="D63" s="22" t="inlineStr">
        <is>
          <t>Blocked until a reason is given; then rejected and the participant notified.</t>
        </is>
      </c>
      <c r="E63" s="23" t="n"/>
      <c r="F63" s="22" t="n"/>
      <c r="G63" s="23" t="n"/>
    </row>
    <row r="64" ht="42" customHeight="1">
      <c r="A64" s="21" t="inlineStr">
        <is>
          <t>SV7</t>
        </is>
      </c>
      <c r="B64" s="22" t="inlineStr">
        <is>
          <t>As a supervisor, I want to review external submissions.</t>
        </is>
      </c>
      <c r="C64" s="22" t="inlineStr">
        <is>
          <t>Pending Reviews → external tab → approve/reject.</t>
        </is>
      </c>
      <c r="D64" s="22" t="inlineStr">
        <is>
          <t>External items reviewable, including any proof.</t>
        </is>
      </c>
      <c r="E64" s="23" t="n"/>
      <c r="F64" s="22" t="n"/>
      <c r="G64" s="23" t="n"/>
    </row>
    <row r="65" ht="42" customHeight="1">
      <c r="A65" s="21" t="inlineStr">
        <is>
          <t>SV8</t>
        </is>
      </c>
      <c r="B65" s="22" t="inlineStr">
        <is>
          <t>As a supervisor, I want to create an event.</t>
        </is>
      </c>
      <c r="C65" s="22" t="inlineStr">
        <is>
          <t>New Event → title, description, slot, address, date, times, capacity, grade limits → save.</t>
        </is>
      </c>
      <c r="D65" s="22" t="inlineStr">
        <is>
          <t>Credit auto-calculated from times; event created in My Events.</t>
        </is>
      </c>
      <c r="E65" s="23" t="n"/>
      <c r="F65" s="22" t="n"/>
      <c r="G65" s="23" t="n"/>
    </row>
    <row r="66" ht="42" customHeight="1">
      <c r="A66" s="21" t="inlineStr">
        <is>
          <t>SV9</t>
        </is>
      </c>
      <c r="B66" s="22" t="inlineStr">
        <is>
          <t>As a supervisor, I want to edit an event.</t>
        </is>
      </c>
      <c r="C66" s="22" t="inlineStr">
        <is>
          <t>My Events → edit → save.</t>
        </is>
      </c>
      <c r="D66" s="22" t="inlineStr">
        <is>
          <t>Changes persist and show to participants.</t>
        </is>
      </c>
      <c r="E66" s="23" t="n"/>
      <c r="F66" s="22" t="n"/>
      <c r="G66" s="23" t="n"/>
    </row>
    <row r="67" ht="42" customHeight="1">
      <c r="A67" s="21" t="inlineStr">
        <is>
          <t>SV10</t>
        </is>
      </c>
      <c r="B67" s="22" t="inlineStr">
        <is>
          <t>As a supervisor, I want to delete an event with no approved hours.</t>
        </is>
      </c>
      <c r="C67" s="22" t="inlineStr">
        <is>
          <t>Delete such an event → confirm.</t>
        </is>
      </c>
      <c r="D67" s="22" t="inlineStr">
        <is>
          <t>Event deleted.</t>
        </is>
      </c>
      <c r="E67" s="23" t="n"/>
      <c r="F67" s="22" t="n"/>
      <c r="G67" s="23" t="n"/>
    </row>
    <row r="68" ht="42" customHeight="1">
      <c r="A68" s="21" t="inlineStr">
        <is>
          <t>SV11</t>
        </is>
      </c>
      <c r="B68" s="22" t="inlineStr">
        <is>
          <t>As a supervisor, deleting an event with approved hours is blocked.</t>
        </is>
      </c>
      <c r="C68" s="22" t="inlineStr">
        <is>
          <t>Try to delete an event that has approved hours.</t>
        </is>
      </c>
      <c r="D68" s="22" t="inlineStr">
        <is>
          <t>Blocked with a message that approved hours must be preserved.</t>
        </is>
      </c>
      <c r="E68" s="23" t="n"/>
      <c r="F68" s="22" t="n"/>
      <c r="G68" s="23" t="n"/>
    </row>
    <row r="69" ht="42" customHeight="1">
      <c r="A69" s="21" t="inlineStr">
        <is>
          <t>SV12</t>
        </is>
      </c>
      <c r="B69" s="22" t="inlineStr">
        <is>
          <t>As a supervisor, I want to see who signed up.</t>
        </is>
      </c>
      <c r="C69" s="22" t="inlineStr">
        <is>
          <t>Open the event Roster.</t>
        </is>
      </c>
      <c r="D69" s="22" t="inlineStr">
        <is>
          <t>Registrants listed with grade and status.</t>
        </is>
      </c>
      <c r="E69" s="23" t="n"/>
      <c r="F69" s="22" t="n"/>
      <c r="G69" s="23" t="n"/>
    </row>
    <row r="70" ht="42" customHeight="1">
      <c r="A70" s="21" t="inlineStr">
        <is>
          <t>SV13</t>
        </is>
      </c>
      <c r="B70" s="22" t="inlineStr">
        <is>
          <t>As a supervisor, I want to check people in / mark no-show.</t>
        </is>
      </c>
      <c r="C70" s="22" t="inlineStr">
        <is>
          <t>On the roster, Check in and Mark no-show.</t>
        </is>
      </c>
      <c r="D70" s="22" t="inlineStr">
        <is>
          <t>Status updates and persists.</t>
        </is>
      </c>
      <c r="E70" s="23" t="n"/>
      <c r="F70" s="22" t="n"/>
      <c r="G70" s="23" t="n"/>
    </row>
    <row r="71" ht="42" customHeight="1">
      <c r="A71" s="21" t="inlineStr">
        <is>
          <t>SV14</t>
        </is>
      </c>
      <c r="B71" s="22" t="inlineStr">
        <is>
          <t>As a supervisor, I want to message everyone signed up.</t>
        </is>
      </c>
      <c r="C71" s="22" t="inlineStr">
        <is>
          <t>Roster → Message attendees → subject+message → send (include guardians on).</t>
        </is>
      </c>
      <c r="D71" s="22" t="inlineStr">
        <is>
          <t>Each registrant (and guardians) emailed individually; recipient count shown.</t>
        </is>
      </c>
      <c r="E71" s="23" t="n"/>
      <c r="F71" s="22" t="n"/>
      <c r="G71" s="23" t="n"/>
    </row>
    <row r="72" ht="42" customHeight="1">
      <c r="A72" s="21" t="inlineStr">
        <is>
          <t>SV15</t>
        </is>
      </c>
      <c r="B72" s="22" t="inlineStr">
        <is>
          <t>As a supervisor, I want a history of what I reviewed.</t>
        </is>
      </c>
      <c r="C72" s="22" t="inlineStr">
        <is>
          <t>Open Reviewed History.</t>
        </is>
      </c>
      <c r="D72" s="22" t="inlineStr">
        <is>
          <t>Every approved/rejected item with dates and volunteers.</t>
        </is>
      </c>
      <c r="E72" s="23" t="n"/>
      <c r="F72" s="22" t="n"/>
      <c r="G72" s="23" t="n"/>
    </row>
    <row r="73" ht="42" customHeight="1">
      <c r="A73" s="21" t="inlineStr">
        <is>
          <t>SV16</t>
        </is>
      </c>
      <c r="B73" s="22" t="inlineStr">
        <is>
          <t>As a supervisor, I want to browse all opportunities view-only.</t>
        </is>
      </c>
      <c r="C73" s="22" t="inlineStr">
        <is>
          <t>All Opportunities → search / upcoming-past.</t>
        </is>
      </c>
      <c r="D73" s="22" t="inlineStr">
        <is>
          <t>Every event listed read-only; can't edit others' events.</t>
        </is>
      </c>
      <c r="E73" s="23" t="n"/>
      <c r="F73" s="22" t="n"/>
      <c r="G73" s="23" t="n"/>
    </row>
    <row r="74" ht="42" customHeight="1">
      <c r="A74" s="21" t="inlineStr">
        <is>
          <t>SV17</t>
        </is>
      </c>
      <c r="B74" s="22" t="inlineStr">
        <is>
          <t>As a supervisor, I want to log my own adult hours.</t>
        </is>
      </c>
      <c r="C74" s="22" t="inlineStr">
        <is>
          <t>My Hours → log an activity, date, hours → save.</t>
        </is>
      </c>
      <c r="D74" s="22" t="inlineStr">
        <is>
          <t>Recorded instantly with a running total; clearly NOT part of the student competition.</t>
        </is>
      </c>
      <c r="E74" s="23" t="n"/>
      <c r="F74" s="22" t="n"/>
      <c r="G74" s="23" t="n"/>
    </row>
    <row r="75" ht="42" customHeight="1">
      <c r="A75" s="21" t="inlineStr">
        <is>
          <t>SV18</t>
        </is>
      </c>
      <c r="B75" s="22" t="inlineStr">
        <is>
          <t>As a supervisor, I want to delete an adult-hours entry.</t>
        </is>
      </c>
      <c r="C75" s="22" t="inlineStr">
        <is>
          <t>My Hours → delete an entry → confirm.</t>
        </is>
      </c>
      <c r="D75" s="22" t="inlineStr">
        <is>
          <t>Removed; total updates.</t>
        </is>
      </c>
      <c r="E75" s="23" t="n"/>
      <c r="F75" s="22" t="n"/>
      <c r="G75" s="23" t="n"/>
    </row>
    <row r="76" ht="42" customHeight="1">
      <c r="A76" s="21" t="inlineStr">
        <is>
          <t>SV19</t>
        </is>
      </c>
      <c r="B76" s="22" t="inlineStr">
        <is>
          <t>As a supervisor, I must NOT access user or org management.</t>
        </is>
      </c>
      <c r="C76" s="22" t="inlineStr">
        <is>
          <t>Look for Users / Organizations in the menu.</t>
        </is>
      </c>
      <c r="D76" s="22" t="inlineStr">
        <is>
          <t>Those tabs are absent; direct URLs are blocked.</t>
        </is>
      </c>
      <c r="E76" s="23" t="n"/>
      <c r="F76" s="22" t="n"/>
      <c r="G76" s="23" t="n"/>
    </row>
    <row r="77" ht="20" customHeight="1">
      <c r="A77" s="19" t="inlineStr">
        <is>
          <t>Admin (org-scoped)</t>
        </is>
      </c>
      <c r="B77" s="20" t="n"/>
      <c r="C77" s="20" t="n"/>
      <c r="D77" s="20" t="n"/>
      <c r="E77" s="20" t="n"/>
      <c r="F77" s="20" t="n"/>
      <c r="G77" s="20" t="n"/>
    </row>
    <row r="78" ht="42" customHeight="1">
      <c r="A78" s="21" t="inlineStr">
        <is>
          <t>AD1</t>
        </is>
      </c>
      <c r="B78" s="22" t="inlineStr">
        <is>
          <t>As an Admin, I want the correct menu tabs.</t>
        </is>
      </c>
      <c r="C78" s="22" t="inlineStr">
        <is>
          <t>Look at the left menu.</t>
        </is>
      </c>
      <c r="D78" s="22" t="inlineStr">
        <is>
          <t>Dashboard, Pending Reviews, Reviewed History, My Events, All Opportunities, Users, Organizations, My Hours, Help.</t>
        </is>
      </c>
      <c r="E78" s="23" t="n"/>
      <c r="F78" s="22" t="n"/>
      <c r="G78" s="23" t="n"/>
    </row>
    <row r="79" ht="42" customHeight="1">
      <c r="A79" s="21" t="inlineStr">
        <is>
          <t>AD2</t>
        </is>
      </c>
      <c r="B79" s="22" t="inlineStr">
        <is>
          <t>As an Admin, I can do everything a supervisor can.</t>
        </is>
      </c>
      <c r="C79" s="22" t="inlineStr">
        <is>
          <t>Spot-check: approve an item and create an event.</t>
        </is>
      </c>
      <c r="D79" s="22" t="inlineStr">
        <is>
          <t>Both work.</t>
        </is>
      </c>
      <c r="E79" s="23" t="n"/>
      <c r="F79" s="22" t="n"/>
      <c r="G79" s="23" t="n"/>
    </row>
    <row r="80" ht="42" customHeight="1">
      <c r="A80" s="21" t="inlineStr">
        <is>
          <t>AD3</t>
        </is>
      </c>
      <c r="B80" s="22" t="inlineStr">
        <is>
          <t>As an Admin, I only see my org's non-admin users.</t>
        </is>
      </c>
      <c r="C80" s="22" t="inlineStr">
        <is>
          <t>Open Users.</t>
        </is>
      </c>
      <c r="D80" s="22" t="inlineStr">
        <is>
          <t>Only participants/parents/supervisors in your org; no admins/super admins; no other orgs.</t>
        </is>
      </c>
      <c r="E80" s="23" t="n"/>
      <c r="F80" s="22" t="n"/>
      <c r="G80" s="23" t="n"/>
    </row>
    <row r="81" ht="42" customHeight="1">
      <c r="A81" s="21" t="inlineStr">
        <is>
          <t>AD4</t>
        </is>
      </c>
      <c r="B81" s="22" t="inlineStr">
        <is>
          <t>As an Admin, I want to add a supervisor.</t>
        </is>
      </c>
      <c r="C81" s="22" t="inlineStr">
        <is>
          <t>Users → Add user → Supervisor → save.</t>
        </is>
      </c>
      <c r="D81" s="22" t="inlineStr">
        <is>
          <t>Supervisor created, stamped to your org; invite email sent.</t>
        </is>
      </c>
      <c r="E81" s="23" t="n"/>
      <c r="F81" s="22" t="n"/>
      <c r="G81" s="23" t="n"/>
    </row>
    <row r="82" ht="42" customHeight="1">
      <c r="A82" s="21" t="inlineStr">
        <is>
          <t>AD5</t>
        </is>
      </c>
      <c r="B82" s="22" t="inlineStr">
        <is>
          <t>As an Admin, I want to create a participant as a fallback.</t>
        </is>
      </c>
      <c r="C82" s="22" t="inlineStr">
        <is>
          <t>Users → Add user → Participant → save.</t>
        </is>
      </c>
      <c r="D82" s="22" t="inlineStr">
        <is>
          <t>Participant created with a set-password invite (no silent password).</t>
        </is>
      </c>
      <c r="E82" s="23" t="n"/>
      <c r="F82" s="22" t="n"/>
      <c r="G82" s="23" t="n"/>
    </row>
    <row r="83" ht="42" customHeight="1">
      <c r="A83" s="21" t="inlineStr">
        <is>
          <t>AD6</t>
        </is>
      </c>
      <c r="B83" s="22" t="inlineStr">
        <is>
          <t>As an Admin, I want to grant participant hours.</t>
        </is>
      </c>
      <c r="C83" s="22" t="inlineStr">
        <is>
          <t>Open a participant in your org → Add hours.</t>
        </is>
      </c>
      <c r="D83" s="22" t="inlineStr">
        <is>
          <t>Hours auto-approved; count toward their total/medals.</t>
        </is>
      </c>
      <c r="E83" s="23" t="n"/>
      <c r="F83" s="22" t="n"/>
      <c r="G83" s="23" t="n"/>
    </row>
    <row r="84" ht="42" customHeight="1">
      <c r="A84" s="21" t="inlineStr">
        <is>
          <t>AD7</t>
        </is>
      </c>
      <c r="B84" s="22" t="inlineStr">
        <is>
          <t>As an Admin, I want a participant's service record.</t>
        </is>
      </c>
      <c r="C84" s="22" t="inlineStr">
        <is>
          <t>Users → Service record for a participant in your org.</t>
        </is>
      </c>
      <c r="D84" s="22" t="inlineStr">
        <is>
          <t>Record opens.</t>
        </is>
      </c>
      <c r="E84" s="23" t="n"/>
      <c r="F84" s="22" t="n"/>
      <c r="G84" s="23" t="n"/>
    </row>
    <row r="85" ht="42" customHeight="1">
      <c r="A85" s="21" t="inlineStr">
        <is>
          <t>AD8</t>
        </is>
      </c>
      <c r="B85" s="22" t="inlineStr">
        <is>
          <t>As an Admin, I want to edit/delete my org's users.</t>
        </is>
      </c>
      <c r="C85" s="22" t="inlineStr">
        <is>
          <t>Edit a name/phone; delete a test user.</t>
        </is>
      </c>
      <c r="D85" s="22" t="inlineStr">
        <is>
          <t>Changes apply within your org.</t>
        </is>
      </c>
      <c r="E85" s="23" t="n"/>
      <c r="F85" s="22" t="n"/>
      <c r="G85" s="23" t="n"/>
    </row>
    <row r="86" ht="42" customHeight="1">
      <c r="A86" s="21" t="inlineStr">
        <is>
          <t>AD9</t>
        </is>
      </c>
      <c r="B86" s="22" t="inlineStr">
        <is>
          <t>As an Admin, I must NOT act on users outside my org.</t>
        </is>
      </c>
      <c r="C86" s="22" t="inlineStr">
        <is>
          <t>Attempt to reach another org's user (e.g. direct URL).</t>
        </is>
      </c>
      <c r="D86" s="22" t="inlineStr">
        <is>
          <t>Blocked / not visible.</t>
        </is>
      </c>
      <c r="E86" s="23" t="n"/>
      <c r="F86" s="22" t="n"/>
      <c r="G86" s="23" t="n"/>
    </row>
    <row r="87" ht="42" customHeight="1">
      <c r="A87" s="21" t="inlineStr">
        <is>
          <t>AD10</t>
        </is>
      </c>
      <c r="B87" s="22" t="inlineStr">
        <is>
          <t>As an Admin, I cannot grant Admin access or manage admins.</t>
        </is>
      </c>
      <c r="C87" s="22" t="inlineStr">
        <is>
          <t>Look for the 'grant Admin access' action.</t>
        </is>
      </c>
      <c r="D87" s="22" t="inlineStr">
        <is>
          <t>No such button; attempts are blocked server-side.</t>
        </is>
      </c>
      <c r="E87" s="23" t="n"/>
      <c r="F87" s="22" t="n"/>
      <c r="G87" s="23" t="n"/>
    </row>
    <row r="88" ht="42" customHeight="1">
      <c r="A88" s="21" t="inlineStr">
        <is>
          <t>AD11</t>
        </is>
      </c>
      <c r="B88" s="22" t="inlineStr">
        <is>
          <t>As an Admin, I see and edit only my own organization.</t>
        </is>
      </c>
      <c r="C88" s="22" t="inlineStr">
        <is>
          <t>Open Organizations.</t>
        </is>
      </c>
      <c r="D88" s="22" t="inlineStr">
        <is>
          <t>Only your org shows; you can edit its settings.</t>
        </is>
      </c>
      <c r="E88" s="23" t="n"/>
      <c r="F88" s="22" t="n"/>
      <c r="G88" s="23" t="n"/>
    </row>
    <row r="89" ht="42" customHeight="1">
      <c r="A89" s="21" t="inlineStr">
        <is>
          <t>AD12</t>
        </is>
      </c>
      <c r="B89" s="22" t="inlineStr">
        <is>
          <t>As an Admin, I want to generate/rotate my org's join code.</t>
        </is>
      </c>
      <c r="C89" s="22" t="inlineStr">
        <is>
          <t>Organizations → set/generate a join code → save.</t>
        </is>
      </c>
      <c r="D89" s="22" t="inlineStr">
        <is>
          <t>Join code saved; usable at sign-up.</t>
        </is>
      </c>
      <c r="E89" s="23" t="n"/>
      <c r="F89" s="22" t="n"/>
      <c r="G89" s="23" t="n"/>
    </row>
    <row r="90" ht="42" customHeight="1">
      <c r="A90" s="21" t="inlineStr">
        <is>
          <t>AD13</t>
        </is>
      </c>
      <c r="B90" s="22" t="inlineStr">
        <is>
          <t>As an Admin, I cannot create organizations.</t>
        </is>
      </c>
      <c r="C90" s="22" t="inlineStr">
        <is>
          <t>Look for 'Add organization'.</t>
        </is>
      </c>
      <c r="D90" s="22" t="inlineStr">
        <is>
          <t>No Add button; creation blocked.</t>
        </is>
      </c>
      <c r="E90" s="23" t="n"/>
      <c r="F90" s="22" t="n"/>
      <c r="G90" s="23" t="n"/>
    </row>
    <row r="91" ht="42" customHeight="1">
      <c r="A91" s="21" t="inlineStr">
        <is>
          <t>AD14</t>
        </is>
      </c>
      <c r="B91" s="22" t="inlineStr">
        <is>
          <t>As an Admin, I cannot change the recycling cans total.</t>
        </is>
      </c>
      <c r="C91" s="22" t="inlineStr">
        <is>
          <t>Look for the cans/bin admin control.</t>
        </is>
      </c>
      <c r="D91" s="22" t="inlineStr">
        <is>
          <t>Not available (Super Admin only).</t>
        </is>
      </c>
      <c r="E91" s="23" t="n"/>
      <c r="F91" s="22" t="n"/>
      <c r="G91" s="23" t="n"/>
    </row>
    <row r="92" ht="20" customHeight="1">
      <c r="A92" s="19" t="inlineStr">
        <is>
          <t>Super Admin (global)</t>
        </is>
      </c>
      <c r="B92" s="20" t="n"/>
      <c r="C92" s="20" t="n"/>
      <c r="D92" s="20" t="n"/>
      <c r="E92" s="20" t="n"/>
      <c r="F92" s="20" t="n"/>
      <c r="G92" s="20" t="n"/>
    </row>
    <row r="93" ht="42" customHeight="1">
      <c r="A93" s="21" t="inlineStr">
        <is>
          <t>SA1</t>
        </is>
      </c>
      <c r="B93" s="22" t="inlineStr">
        <is>
          <t>As a Super Admin, I want the correct menu tabs.</t>
        </is>
      </c>
      <c r="C93" s="22" t="inlineStr">
        <is>
          <t>Look at the left menu.</t>
        </is>
      </c>
      <c r="D93" s="22" t="inlineStr">
        <is>
          <t>Dashboard, Reports, Users, Events, Organizations (Help in footer).</t>
        </is>
      </c>
      <c r="E93" s="23" t="n"/>
      <c r="F93" s="22" t="n"/>
      <c r="G93" s="23" t="n"/>
    </row>
    <row r="94" ht="42" customHeight="1">
      <c r="A94" s="21" t="inlineStr">
        <is>
          <t>SA2</t>
        </is>
      </c>
      <c r="B94" s="22" t="inlineStr">
        <is>
          <t>As a Super Admin, I can do everything an Admin can, across all orgs.</t>
        </is>
      </c>
      <c r="C94" s="22" t="inlineStr">
        <is>
          <t>Spot-check user + org actions on more than one org.</t>
        </is>
      </c>
      <c r="D94" s="22" t="inlineStr">
        <is>
          <t>All allowed regardless of org.</t>
        </is>
      </c>
      <c r="E94" s="23" t="n"/>
      <c r="F94" s="22" t="n"/>
      <c r="G94" s="23" t="n"/>
    </row>
    <row r="95" ht="42" customHeight="1">
      <c r="A95" s="21" t="inlineStr">
        <is>
          <t>SA3</t>
        </is>
      </c>
      <c r="B95" s="22" t="inlineStr">
        <is>
          <t>As a Super Admin, I want to create users incl. Supervisor and Super Admin.</t>
        </is>
      </c>
      <c r="C95" s="22" t="inlineStr">
        <is>
          <t>Users → Add user → each role.</t>
        </is>
      </c>
      <c r="D95" s="22" t="inlineStr">
        <is>
          <t>Participant/Supervisor/Super Admin options available; account created + invite email.</t>
        </is>
      </c>
      <c r="E95" s="23" t="n"/>
      <c r="F95" s="22" t="n"/>
      <c r="G95" s="23" t="n"/>
    </row>
    <row r="96" ht="42" customHeight="1">
      <c r="A96" s="21" t="inlineStr">
        <is>
          <t>SA4</t>
        </is>
      </c>
      <c r="B96" s="22" t="inlineStr">
        <is>
          <t>As a Super Admin, I want to grant/revoke Admin access.</t>
        </is>
      </c>
      <c r="C96" s="22" t="inlineStr">
        <is>
          <t>Open a user → grant Admin access → check org(s) → save; then uncheck all → save.</t>
        </is>
      </c>
      <c r="D96" s="22" t="inlineStr">
        <is>
          <t>Checking orgs makes an Admin; unchecking all reverts to participant.</t>
        </is>
      </c>
      <c r="E96" s="23" t="n"/>
      <c r="F96" s="22" t="n"/>
      <c r="G96" s="23" t="n"/>
    </row>
    <row r="97" ht="42" customHeight="1">
      <c r="A97" s="21" t="inlineStr">
        <is>
          <t>SA5</t>
        </is>
      </c>
      <c r="B97" s="22" t="inlineStr">
        <is>
          <t>As a Super Admin, I want to create organizations + join codes.</t>
        </is>
      </c>
      <c r="C97" s="22" t="inlineStr">
        <is>
          <t>Organizations → Add organization → set details + join code.</t>
        </is>
      </c>
      <c r="D97" s="22" t="inlineStr">
        <is>
          <t>Org created with its join code.</t>
        </is>
      </c>
      <c r="E97" s="23" t="n"/>
      <c r="F97" s="22" t="n"/>
      <c r="G97" s="23" t="n"/>
    </row>
    <row r="98" ht="42" customHeight="1">
      <c r="A98" s="21" t="inlineStr">
        <is>
          <t>SA6</t>
        </is>
      </c>
      <c r="B98" s="22" t="inlineStr">
        <is>
          <t>As a Super Admin, I want to find users by type.</t>
        </is>
      </c>
      <c r="C98" s="22" t="inlineStr">
        <is>
          <t>Users → role filter pills + search.</t>
        </is>
      </c>
      <c r="D98" s="22" t="inlineStr">
        <is>
          <t>Filter by role with counts; search by name/email across all orgs.</t>
        </is>
      </c>
      <c r="E98" s="23" t="n"/>
      <c r="F98" s="22" t="n"/>
      <c r="G98" s="23" t="n"/>
    </row>
    <row r="99" ht="42" customHeight="1">
      <c r="A99" s="21" t="inlineStr">
        <is>
          <t>SA7</t>
        </is>
      </c>
      <c r="B99" s="22" t="inlineStr">
        <is>
          <t>As a Super Admin, I want to search events.</t>
        </is>
      </c>
      <c r="C99" s="22" t="inlineStr">
        <is>
          <t>Events → search + date range; check supervisor/org per card.</t>
        </is>
      </c>
      <c r="D99" s="22" t="inlineStr">
        <is>
          <t>Filters work; each event shows supervisor and organization.</t>
        </is>
      </c>
      <c r="E99" s="23" t="n"/>
      <c r="F99" s="22" t="n"/>
      <c r="G99" s="23" t="n"/>
    </row>
    <row r="100" ht="42" customHeight="1">
      <c r="A100" s="21" t="inlineStr">
        <is>
          <t>SA8</t>
        </is>
      </c>
      <c r="B100" s="22" t="inlineStr">
        <is>
          <t>As a Super Admin, I want clear event-visibility labels.</t>
        </is>
      </c>
      <c r="C100" s="22" t="inlineStr">
        <is>
          <t>New Event → 'Who can see this'.</t>
        </is>
      </c>
      <c r="D100" s="22" t="inlineStr">
        <is>
          <t>'Open to all (community)' and 'Only &lt;org&gt; students' with helper text.</t>
        </is>
      </c>
      <c r="E100" s="23" t="n"/>
      <c r="F100" s="22" t="n"/>
      <c r="G100" s="23" t="n"/>
    </row>
    <row r="101" ht="42" customHeight="1">
      <c r="A101" s="21" t="inlineStr">
        <is>
          <t>SA9</t>
        </is>
      </c>
      <c r="B101" s="22" t="inlineStr">
        <is>
          <t>As a Super Admin, I want program-wide reports.</t>
        </is>
      </c>
      <c r="C101" s="22" t="inlineStr">
        <is>
          <t>Open Reports / Dashboard.</t>
        </is>
      </c>
      <c r="D101" s="22" t="inlineStr">
        <is>
          <t>Totals and charts across the whole program.</t>
        </is>
      </c>
      <c r="E101" s="23" t="n"/>
      <c r="F101" s="22" t="n"/>
      <c r="G101" s="23" t="n"/>
    </row>
    <row r="102" ht="42" customHeight="1">
      <c r="A102" s="21" t="inlineStr">
        <is>
          <t>SA10</t>
        </is>
      </c>
      <c r="B102" s="22" t="inlineStr">
        <is>
          <t>As a Super Admin, I want to verify email works.</t>
        </is>
      </c>
      <c r="C102" s="22" t="inlineStr">
        <is>
          <t>Dashboard → Send test email.</t>
        </is>
      </c>
      <c r="D102" s="22" t="inlineStr">
        <is>
          <t>Result shown (success or the exact failure reason).</t>
        </is>
      </c>
      <c r="E102" s="23" t="n"/>
      <c r="F102" s="22" t="n"/>
      <c r="G102" s="23" t="n"/>
    </row>
    <row r="103" ht="42" customHeight="1">
      <c r="A103" s="21" t="inlineStr">
        <is>
          <t>SA11</t>
        </is>
      </c>
      <c r="B103" s="22" t="inlineStr">
        <is>
          <t>As a Super Admin, I want to update the recycling cans total.</t>
        </is>
      </c>
      <c r="C103" s="22" t="inlineStr">
        <is>
          <t>Use the cans/bin admin control.</t>
        </is>
      </c>
      <c r="D103" s="22" t="inlineStr">
        <is>
          <t>Total updates; the ribbon reflects it.</t>
        </is>
      </c>
      <c r="E103" s="23" t="n"/>
      <c r="F103" s="22" t="n"/>
      <c r="G103" s="23" t="n"/>
    </row>
    <row r="104" ht="42" customHeight="1">
      <c r="A104" s="21" t="inlineStr">
        <is>
          <t>SA12</t>
        </is>
      </c>
      <c r="B104" s="22" t="inlineStr">
        <is>
          <t>As a Super Admin, I want hours + records for any user.</t>
        </is>
      </c>
      <c r="C104" s="22" t="inlineStr">
        <is>
          <t>Add manual hours / open service record for any participant.</t>
        </is>
      </c>
      <c r="D104" s="22" t="inlineStr">
        <is>
          <t>Works for any org.</t>
        </is>
      </c>
      <c r="E104" s="23" t="n"/>
      <c r="F104" s="22" t="n"/>
      <c r="G104" s="23" t="n"/>
    </row>
    <row r="105" ht="20" customHeight="1">
      <c r="A105" s="19" t="inlineStr">
        <is>
          <t>Cross-cutting</t>
        </is>
      </c>
      <c r="B105" s="20" t="n"/>
      <c r="C105" s="20" t="n"/>
      <c r="D105" s="20" t="n"/>
      <c r="E105" s="20" t="n"/>
      <c r="F105" s="20" t="n"/>
      <c r="G105" s="20" t="n"/>
    </row>
    <row r="106" ht="42" customHeight="1">
      <c r="A106" s="21" t="inlineStr">
        <is>
          <t>X1</t>
        </is>
      </c>
      <c r="B106" s="22" t="inlineStr">
        <is>
          <t>As a phone user, I want a usable mobile layout.</t>
        </is>
      </c>
      <c r="C106" s="22" t="inlineStr">
        <is>
          <t>Open at phone width; use the menu drawer.</t>
        </is>
      </c>
      <c r="D106" s="22" t="inlineStr">
        <is>
          <t>Layout adapts; drawer opens/closes; no horizontal scroll.</t>
        </is>
      </c>
      <c r="E106" s="23" t="n"/>
      <c r="F106" s="22" t="n"/>
      <c r="G106" s="23" t="n"/>
    </row>
    <row r="107" ht="42" customHeight="1">
      <c r="A107" s="21" t="inlineStr">
        <is>
          <t>X2</t>
        </is>
      </c>
      <c r="B107" s="22" t="inlineStr">
        <is>
          <t>As a visitor, I want the recycling ribbon on the login page.</t>
        </is>
      </c>
      <c r="C107" s="22" t="inlineStr">
        <is>
          <t>Open login signed out.</t>
        </is>
      </c>
      <c r="D107" s="22" t="inlineStr">
        <is>
          <t>Green ribbon shows on login.</t>
        </is>
      </c>
      <c r="E107" s="23" t="n"/>
      <c r="F107" s="22" t="n"/>
      <c r="G107" s="23" t="n"/>
    </row>
  </sheetData>
  <mergeCells count="9">
    <mergeCell ref="A1:G1"/>
    <mergeCell ref="A3:G3"/>
    <mergeCell ref="A77:G77"/>
    <mergeCell ref="A105:G105"/>
    <mergeCell ref="A35:G35"/>
    <mergeCell ref="A92:G92"/>
    <mergeCell ref="A57:G57"/>
    <mergeCell ref="A51:G51"/>
    <mergeCell ref="A10:G10"/>
  </mergeCells>
  <conditionalFormatting sqref="E4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11:E34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conditionalFormatting sqref="E36:E50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</conditionalFormatting>
  <conditionalFormatting sqref="E52:E56"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</conditionalFormatting>
  <conditionalFormatting sqref="E58:E76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</conditionalFormatting>
  <conditionalFormatting sqref="E78:E91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</conditionalFormatting>
  <conditionalFormatting sqref="E93:E104"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</conditionalFormatting>
  <conditionalFormatting sqref="E106:E107"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</conditionalFormatting>
  <dataValidations count="1">
    <dataValidation sqref="E4:E9 E11:E34 E36:E50 E52:E56 E58:E76 E78:E91 E93:E104 E106:E107" showDropDown="0" showInputMessage="0" showErrorMessage="0" allowBlank="1" type="list">
      <formula1>"Pass,Fail,Blocked,Not tested,N/A"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2" customWidth="1" min="3" max="3"/>
    <col width="52" customWidth="1" min="4" max="4"/>
    <col width="13" customWidth="1" min="5" max="5"/>
    <col width="34" customWidth="1" min="6" max="6"/>
    <col width="15" customWidth="1" min="7" max="7"/>
  </cols>
  <sheetData>
    <row r="1" ht="28" customHeight="1">
      <c r="A1" s="17" t="inlineStr">
        <is>
          <t>Test cases — Desktop Chrome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8" t="inlineStr">
        <is>
          <t>ID</t>
        </is>
      </c>
      <c r="B2" s="18" t="inlineStr">
        <is>
          <t>User story</t>
        </is>
      </c>
      <c r="C2" s="18" t="inlineStr">
        <is>
          <t>Steps to perform</t>
        </is>
      </c>
      <c r="D2" s="18" t="inlineStr">
        <is>
          <t>Expected behavior (what you should see)</t>
        </is>
      </c>
      <c r="E2" s="18" t="inlineStr">
        <is>
          <t>Result</t>
        </is>
      </c>
      <c r="F2" s="18" t="inlineStr">
        <is>
          <t>Comments</t>
        </is>
      </c>
      <c r="G2" s="18" t="inlineStr">
        <is>
          <t>Tester</t>
        </is>
      </c>
    </row>
    <row r="3" ht="20" customHeight="1">
      <c r="A3" s="19" t="inlineStr">
        <is>
          <t>Account &amp; access (all roles)</t>
        </is>
      </c>
      <c r="B3" s="20" t="n"/>
      <c r="C3" s="20" t="n"/>
      <c r="D3" s="20" t="n"/>
      <c r="E3" s="20" t="n"/>
      <c r="F3" s="20" t="n"/>
      <c r="G3" s="20" t="n"/>
    </row>
    <row r="4" ht="42" customHeight="1">
      <c r="A4" s="21" t="inlineStr">
        <is>
          <t>AC1</t>
        </is>
      </c>
      <c r="B4" s="22" t="inlineStr">
        <is>
          <t>As any user, I want to log in with email and password.</t>
        </is>
      </c>
      <c r="C4" s="22" t="inlineStr">
        <is>
          <t>Enter valid email/password and Sign in.</t>
        </is>
      </c>
      <c r="D4" s="22" t="inlineStr">
        <is>
          <t>You're signed in and taken to your role's home.</t>
        </is>
      </c>
      <c r="E4" s="23" t="n"/>
      <c r="F4" s="22" t="n"/>
      <c r="G4" s="23" t="n"/>
    </row>
    <row r="5" ht="42" customHeight="1">
      <c r="A5" s="21" t="inlineStr">
        <is>
          <t>AC2</t>
        </is>
      </c>
      <c r="B5" s="22" t="inlineStr">
        <is>
          <t>As any user, I want to reveal my password while typing.</t>
        </is>
      </c>
      <c r="C5" s="22" t="inlineStr">
        <is>
          <t>Tap the eye icon in the password field.</t>
        </is>
      </c>
      <c r="D5" s="22" t="inlineStr">
        <is>
          <t>Password text toggles visible/hidden.</t>
        </is>
      </c>
      <c r="E5" s="23" t="n"/>
      <c r="F5" s="22" t="n"/>
      <c r="G5" s="23" t="n"/>
    </row>
    <row r="6" ht="42" customHeight="1">
      <c r="A6" s="21" t="inlineStr">
        <is>
          <t>AC3</t>
        </is>
      </c>
      <c r="B6" s="22" t="inlineStr">
        <is>
          <t>As any user, I want to reset a forgotten password by email.</t>
        </is>
      </c>
      <c r="C6" s="22" t="inlineStr">
        <is>
          <t>Forgot password → enter email → open email → follow link → set new password → sign in.</t>
        </is>
      </c>
      <c r="D6" s="22" t="inlineStr">
        <is>
          <t>Reset email arrives; link works; new password signs in; old one fails.</t>
        </is>
      </c>
      <c r="E6" s="23" t="n"/>
      <c r="F6" s="22" t="n"/>
      <c r="G6" s="23" t="n"/>
    </row>
    <row r="7" ht="42" customHeight="1">
      <c r="A7" s="21" t="inlineStr">
        <is>
          <t>AC4</t>
        </is>
      </c>
      <c r="B7" s="22" t="inlineStr">
        <is>
          <t>As any user, I want to sign out.</t>
        </is>
      </c>
      <c r="C7" s="22" t="inlineStr">
        <is>
          <t>Use Sign out.</t>
        </is>
      </c>
      <c r="D7" s="22" t="inlineStr">
        <is>
          <t>Logged out; returned to login/landing.</t>
        </is>
      </c>
      <c r="E7" s="23" t="n"/>
      <c r="F7" s="22" t="n"/>
      <c r="G7" s="23" t="n"/>
    </row>
    <row r="8" ht="42" customHeight="1">
      <c r="A8" s="21" t="inlineStr">
        <is>
          <t>AC5</t>
        </is>
      </c>
      <c r="B8" s="22" t="inlineStr">
        <is>
          <t>As any user, I want a clear error for bad credentials.</t>
        </is>
      </c>
      <c r="C8" s="22" t="inlineStr">
        <is>
          <t>Enter a wrong password.</t>
        </is>
      </c>
      <c r="D8" s="22" t="inlineStr">
        <is>
          <t>Clear 'login failed' message; stay on login.</t>
        </is>
      </c>
      <c r="E8" s="23" t="n"/>
      <c r="F8" s="22" t="n"/>
      <c r="G8" s="23" t="n"/>
    </row>
    <row r="9" ht="42" customHeight="1">
      <c r="A9" s="21" t="inlineStr">
        <is>
          <t>AC6</t>
        </is>
      </c>
      <c r="B9" s="22" t="inlineStr">
        <is>
          <t>As any user, my session persists and protected pages are guarded.</t>
        </is>
      </c>
      <c r="C9" s="22" t="inlineStr">
        <is>
          <t>Sign in, refresh; then sign out and open a protected URL directly.</t>
        </is>
      </c>
      <c r="D9" s="22" t="inlineStr">
        <is>
          <t>Refresh stays signed in; protected pages redirect to login when signed out.</t>
        </is>
      </c>
      <c r="E9" s="23" t="n"/>
      <c r="F9" s="22" t="n"/>
      <c r="G9" s="23" t="n"/>
    </row>
    <row r="10" ht="20" customHeight="1">
      <c r="A10" s="19" t="inlineStr">
        <is>
          <t>Participant (grades 6–12)</t>
        </is>
      </c>
      <c r="B10" s="20" t="n"/>
      <c r="C10" s="20" t="n"/>
      <c r="D10" s="20" t="n"/>
      <c r="E10" s="20" t="n"/>
      <c r="F10" s="20" t="n"/>
      <c r="G10" s="20" t="n"/>
    </row>
    <row r="11" ht="42" customHeight="1">
      <c r="A11" s="21" t="inlineStr">
        <is>
          <t>PT1</t>
        </is>
      </c>
      <c r="B11" s="22" t="inlineStr">
        <is>
          <t>As a student (6–12), I want to self-register with the form.</t>
        </is>
      </c>
      <c r="C11" s="22" t="inlineStr">
        <is>
          <t>Create account → student option; fill name, email, password, grade, school, parent email; submit.</t>
        </is>
      </c>
      <c r="D11" s="22" t="inlineStr">
        <is>
          <t>Account created; signed in on the participant dashboard.</t>
        </is>
      </c>
      <c r="E11" s="23" t="n"/>
      <c r="F11" s="22" t="n"/>
      <c r="G11" s="23" t="n"/>
    </row>
    <row r="12" ht="42" customHeight="1">
      <c r="A12" s="21" t="inlineStr">
        <is>
          <t>PT2</t>
        </is>
      </c>
      <c r="B12" s="22" t="inlineStr">
        <is>
          <t>As a student, I want to enter an organization code during sign-up.</t>
        </is>
      </c>
      <c r="C12" s="22" t="inlineStr">
        <is>
          <t>Enter a code in the Organization code field (optional) and submit.</t>
        </is>
      </c>
      <c r="D12" s="22" t="inlineStr">
        <is>
          <t>A valid code enrolls me in that org; a bad code is rejected; blank is allowed.</t>
        </is>
      </c>
      <c r="E12" s="23" t="n"/>
      <c r="F12" s="22" t="n"/>
      <c r="G12" s="23" t="n"/>
    </row>
    <row r="13" ht="42" customHeight="1">
      <c r="A13" s="21" t="inlineStr">
        <is>
          <t>PT3</t>
        </is>
      </c>
      <c r="B13" s="22" t="inlineStr">
        <is>
          <t>As a participant, I want the correct 7 left-menu tabs.</t>
        </is>
      </c>
      <c r="C13" s="22" t="inlineStr">
        <is>
          <t>Look at the left menu.</t>
        </is>
      </c>
      <c r="D13" s="22" t="inlineStr">
        <is>
          <t>Exactly: Dashboard, Sign Up, Submit My Hours, Leaderboard, My Reports, My Profile, Help.</t>
        </is>
      </c>
      <c r="E13" s="23" t="n"/>
      <c r="F13" s="22" t="n"/>
      <c r="G13" s="23" t="n"/>
    </row>
    <row r="14" ht="42" customHeight="1">
      <c r="A14" s="21" t="inlineStr">
        <is>
          <t>PT4</t>
        </is>
      </c>
      <c r="B14" s="22" t="inlineStr">
        <is>
          <t>As a participant, I want a dashboard of my hours and next medal.</t>
        </is>
      </c>
      <c r="C14" s="22" t="inlineStr">
        <is>
          <t>Open the dashboard.</t>
        </is>
      </c>
      <c r="D14" s="22" t="inlineStr">
        <is>
          <t>Approved-hours ring, next medal + hours to go, and quick actions.</t>
        </is>
      </c>
      <c r="E14" s="23" t="n"/>
      <c r="F14" s="22" t="n"/>
      <c r="G14" s="23" t="n"/>
    </row>
    <row r="15" ht="42" customHeight="1">
      <c r="A15" s="21" t="inlineStr">
        <is>
          <t>PT5</t>
        </is>
      </c>
      <c r="B15" s="22" t="inlineStr">
        <is>
          <t>As a participant, I want to find and sign up for an opportunity.</t>
        </is>
      </c>
      <c r="C15" s="22" t="inlineStr">
        <is>
          <t>Sign Up → Upcoming events → open one → Sign Up.</t>
        </is>
      </c>
      <c r="D15" s="22" t="inlineStr">
        <is>
          <t>Registered; confirmation; it moves to My sign-ups.</t>
        </is>
      </c>
      <c r="E15" s="23" t="n"/>
      <c r="F15" s="22" t="n"/>
      <c r="G15" s="23" t="n"/>
    </row>
    <row r="16" ht="42" customHeight="1">
      <c r="A16" s="21" t="inlineStr">
        <is>
          <t>PT6</t>
        </is>
      </c>
      <c r="B16" s="22" t="inlineStr">
        <is>
          <t>As a participant, I want to add a signed-up event to my calendar.</t>
        </is>
      </c>
      <c r="C16" s="22" t="inlineStr">
        <is>
          <t>My sign-ups → add to calendar.</t>
        </is>
      </c>
      <c r="D16" s="22" t="inlineStr">
        <is>
          <t>An .ics downloads with correct title/date/time/location.</t>
        </is>
      </c>
      <c r="E16" s="23" t="n"/>
      <c r="F16" s="22" t="n"/>
      <c r="G16" s="23" t="n"/>
    </row>
    <row r="17" ht="42" customHeight="1">
      <c r="A17" s="21" t="inlineStr">
        <is>
          <t>PT7</t>
        </is>
      </c>
      <c r="B17" s="22" t="inlineStr">
        <is>
          <t>As a participant, I want to see my past events.</t>
        </is>
      </c>
      <c r="C17" s="22" t="inlineStr">
        <is>
          <t>Sign Up → Past tab.</t>
        </is>
      </c>
      <c r="D17" s="22" t="inlineStr">
        <is>
          <t>Past events are listed.</t>
        </is>
      </c>
      <c r="E17" s="23" t="n"/>
      <c r="F17" s="22" t="n"/>
      <c r="G17" s="23" t="n"/>
    </row>
    <row r="18" ht="42" customHeight="1">
      <c r="A18" s="21" t="inlineStr">
        <is>
          <t>PT8</t>
        </is>
      </c>
      <c r="B18" s="22" t="inlineStr">
        <is>
          <t>As a participant, I want to search opportunities.</t>
        </is>
      </c>
      <c r="C18" s="22" t="inlineStr">
        <is>
          <t>Use the search box (name/description/location).</t>
        </is>
      </c>
      <c r="D18" s="22" t="inlineStr">
        <is>
          <t>List filters to matches.</t>
        </is>
      </c>
      <c r="E18" s="23" t="n"/>
      <c r="F18" s="22" t="n"/>
      <c r="G18" s="23" t="n"/>
    </row>
    <row r="19" ht="42" customHeight="1">
      <c r="A19" s="21" t="inlineStr">
        <is>
          <t>PT9</t>
        </is>
      </c>
      <c r="B19" s="22" t="inlineStr">
        <is>
          <t>As a participant, I want to withdraw from an event.</t>
        </is>
      </c>
      <c r="C19" s="22" t="inlineStr">
        <is>
          <t>My sign-ups → red Withdraw → confirm.</t>
        </is>
      </c>
      <c r="D19" s="22" t="inlineStr">
        <is>
          <t>Removed; can re-sign up later if space.</t>
        </is>
      </c>
      <c r="E19" s="23" t="n"/>
      <c r="F19" s="22" t="n"/>
      <c r="G19" s="23" t="n"/>
    </row>
    <row r="20" ht="42" customHeight="1">
      <c r="A20" s="21" t="inlineStr">
        <is>
          <t>PT10</t>
        </is>
      </c>
      <c r="B20" s="22" t="inlineStr">
        <is>
          <t>As a participant, I can only join grade-appropriate events.</t>
        </is>
      </c>
      <c r="C20" s="22" t="inlineStr">
        <is>
          <t>Try an event outside your grade range.</t>
        </is>
      </c>
      <c r="D20" s="22" t="inlineStr">
        <is>
          <t>Not available / blocked with a grade message.</t>
        </is>
      </c>
      <c r="E20" s="23" t="n"/>
      <c r="F20" s="22" t="n"/>
      <c r="G20" s="23" t="n"/>
    </row>
    <row r="21" ht="42" customHeight="1">
      <c r="A21" s="21" t="inlineStr">
        <is>
          <t>PT11</t>
        </is>
      </c>
      <c r="B21" s="22" t="inlineStr">
        <is>
          <t>As a participant, I only see my org's or open events.</t>
        </is>
      </c>
      <c r="C21" s="22" t="inlineStr">
        <is>
          <t>Browse opportunities.</t>
        </is>
      </c>
      <c r="D21" s="22" t="inlineStr">
        <is>
          <t>Open-to-all show; other orgs' private events don't appear.</t>
        </is>
      </c>
      <c r="E21" s="23" t="n"/>
      <c r="F21" s="22" t="n"/>
      <c r="G21" s="23" t="n"/>
    </row>
    <row r="22" ht="42" customHeight="1">
      <c r="A22" s="21" t="inlineStr">
        <is>
          <t>PT12</t>
        </is>
      </c>
      <c r="B22" s="22" t="inlineStr">
        <is>
          <t>As a participant, I want to check in on event day.</t>
        </is>
      </c>
      <c r="C22" s="22" t="inlineStr">
        <is>
          <t>On the day, within the window, use the Check-In panel.</t>
        </is>
      </c>
      <c r="D22" s="22" t="inlineStr">
        <is>
          <t>Check-in succeeds; before the window shows 'Not open yet'.</t>
        </is>
      </c>
      <c r="E22" s="23" t="n"/>
      <c r="F22" s="22" t="n"/>
      <c r="G22" s="23" t="n"/>
    </row>
    <row r="23" ht="42" customHeight="1">
      <c r="A23" s="21" t="inlineStr">
        <is>
          <t>PT13</t>
        </is>
      </c>
      <c r="B23" s="22" t="inlineStr">
        <is>
          <t>As a participant, I want to submit hours after an event.</t>
        </is>
      </c>
      <c r="C23" s="22" t="inlineStr">
        <is>
          <t>Submit My Hours → Post-event hours → enter hours → submit.</t>
        </is>
      </c>
      <c r="D23" s="22" t="inlineStr">
        <is>
          <t>Sent for approval; shows 'Waiting for review'.</t>
        </is>
      </c>
      <c r="E23" s="23" t="n"/>
      <c r="F23" s="22" t="n"/>
      <c r="G23" s="23" t="n"/>
    </row>
    <row r="24" ht="42" customHeight="1">
      <c r="A24" s="21" t="inlineStr">
        <is>
          <t>PT14</t>
        </is>
      </c>
      <c r="B24" s="22" t="inlineStr">
        <is>
          <t>As a participant who didn't sign up, I want to submit hours.</t>
        </is>
      </c>
      <c r="C24" s="22" t="inlineStr">
        <is>
          <t>Post-event hours → 'Attended without signing up?' → pick event → submit.</t>
        </is>
      </c>
      <c r="D24" s="22" t="inlineStr">
        <is>
          <t>Section always visible; eligible past events claimable, else empty-state note.</t>
        </is>
      </c>
      <c r="E24" s="23" t="n"/>
      <c r="F24" s="22" t="n"/>
      <c r="G24" s="23" t="n"/>
    </row>
    <row r="25" ht="42" customHeight="1">
      <c r="A25" s="21" t="inlineStr">
        <is>
          <t>PT15</t>
        </is>
      </c>
      <c r="B25" s="22" t="inlineStr">
        <is>
          <t>As a participant, I want to resubmit rejected hours.</t>
        </is>
      </c>
      <c r="C25" s="22" t="inlineStr">
        <is>
          <t>Open a rejected item → resubmit corrected hours.</t>
        </is>
      </c>
      <c r="D25" s="22" t="inlineStr">
        <is>
          <t>Returns to 'Waiting for review'.</t>
        </is>
      </c>
      <c r="E25" s="23" t="n"/>
      <c r="F25" s="22" t="n"/>
      <c r="G25" s="23" t="n"/>
    </row>
    <row r="26" ht="42" customHeight="1">
      <c r="A26" s="21" t="inlineStr">
        <is>
          <t>PT16</t>
        </is>
      </c>
      <c r="B26" s="22" t="inlineStr">
        <is>
          <t>As a participant, I want to log outside volunteering.</t>
        </is>
      </c>
      <c r="C26" s="22" t="inlineStr">
        <is>
          <t>Submit My Hours → Outside volunteering → org, EIN, date, hours, guidelines → submit.</t>
        </is>
      </c>
      <c r="D26" s="22" t="inlineStr">
        <is>
          <t>Recorded as pending external hours.</t>
        </is>
      </c>
      <c r="E26" s="23" t="n"/>
      <c r="F26" s="22" t="n"/>
      <c r="G26" s="23" t="n"/>
    </row>
    <row r="27" ht="42" customHeight="1">
      <c r="A27" s="21" t="inlineStr">
        <is>
          <t>PT17</t>
        </is>
      </c>
      <c r="B27" s="22" t="inlineStr">
        <is>
          <t>As a participant, proof is required over 5 external hours.</t>
        </is>
      </c>
      <c r="C27" s="22" t="inlineStr">
        <is>
          <t>Submit &gt;5h without proof, then with proof.</t>
        </is>
      </c>
      <c r="D27" s="22" t="inlineStr">
        <is>
          <t>Blocked without proof; submits with a photo/letter.</t>
        </is>
      </c>
      <c r="E27" s="23" t="n"/>
      <c r="F27" s="22" t="n"/>
      <c r="G27" s="23" t="n"/>
    </row>
    <row r="28" ht="42" customHeight="1">
      <c r="A28" s="21" t="inlineStr">
        <is>
          <t>PT18</t>
        </is>
      </c>
      <c r="B28" s="22" t="inlineStr">
        <is>
          <t>As a participant, I want an email when my hours are reviewed.</t>
        </is>
      </c>
      <c r="C28" s="22" t="inlineStr">
        <is>
          <t>Have a supervisor approve then reject one of your submissions.</t>
        </is>
      </c>
      <c r="D28" s="22" t="inlineStr">
        <is>
          <t>You (and your parent) receive approved / needs-attention emails.</t>
        </is>
      </c>
      <c r="E28" s="23" t="n"/>
      <c r="F28" s="22" t="n"/>
      <c r="G28" s="23" t="n"/>
    </row>
    <row r="29" ht="42" customHeight="1">
      <c r="A29" s="21" t="inlineStr">
        <is>
          <t>PT19</t>
        </is>
      </c>
      <c r="B29" s="22" t="inlineStr">
        <is>
          <t>As a participant, I want a reports view.</t>
        </is>
      </c>
      <c r="C29" s="22" t="inlineStr">
        <is>
          <t>Open My Reports.</t>
        </is>
      </c>
      <c r="D29" s="22" t="inlineStr">
        <is>
          <t>Total/in-program/external/waiting hours and medal progress bars.</t>
        </is>
      </c>
      <c r="E29" s="23" t="n"/>
      <c r="F29" s="22" t="n"/>
      <c r="G29" s="23" t="n"/>
    </row>
    <row r="30" ht="42" customHeight="1">
      <c r="A30" s="21" t="inlineStr">
        <is>
          <t>PT20</t>
        </is>
      </c>
      <c r="B30" s="22" t="inlineStr">
        <is>
          <t>As a participant, I want an official service record.</t>
        </is>
      </c>
      <c r="C30" s="22" t="inlineStr">
        <is>
          <t>My Reports → Verified service record.</t>
        </is>
      </c>
      <c r="D30" s="22" t="inlineStr">
        <is>
          <t>Itemized printable statement; Save-as-PDF works.</t>
        </is>
      </c>
      <c r="E30" s="23" t="n"/>
      <c r="F30" s="22" t="n"/>
      <c r="G30" s="23" t="n"/>
    </row>
    <row r="31" ht="42" customHeight="1">
      <c r="A31" s="21" t="inlineStr">
        <is>
          <t>PT21</t>
        </is>
      </c>
      <c r="B31" s="22" t="inlineStr">
        <is>
          <t>As a participant, I want leaderboard privacy.</t>
        </is>
      </c>
      <c r="C31" s="22" t="inlineStr">
        <is>
          <t>Set alias/hide in My Profile → view leaderboard.</t>
        </is>
      </c>
      <c r="D31" s="22" t="inlineStr">
        <is>
          <t>Shows alias or 'Anonymous' to others; you see yourself.</t>
        </is>
      </c>
      <c r="E31" s="23" t="n"/>
      <c r="F31" s="22" t="n"/>
      <c r="G31" s="23" t="n"/>
    </row>
    <row r="32" ht="42" customHeight="1">
      <c r="A32" s="21" t="inlineStr">
        <is>
          <t>PT22</t>
        </is>
      </c>
      <c r="B32" s="22" t="inlineStr">
        <is>
          <t>As a participant, I want to edit my profile.</t>
        </is>
      </c>
      <c r="C32" s="22" t="inlineStr">
        <is>
          <t>My Profile → change name/grade/school/affiliation → save.</t>
        </is>
      </c>
      <c r="D32" s="22" t="inlineStr">
        <is>
          <t>Saves; switching to a code-protected org needs a valid code.</t>
        </is>
      </c>
      <c r="E32" s="23" t="n"/>
      <c r="F32" s="22" t="n"/>
      <c r="G32" s="23" t="n"/>
    </row>
    <row r="33" ht="42" customHeight="1">
      <c r="A33" s="21" t="inlineStr">
        <is>
          <t>PT23</t>
        </is>
      </c>
      <c r="B33" s="22" t="inlineStr">
        <is>
          <t>As a participant, I want Help incl. join codes.</t>
        </is>
      </c>
      <c r="C33" s="22" t="inlineStr">
        <is>
          <t>Open Help; expand entries.</t>
        </is>
      </c>
      <c r="D33" s="22" t="inlineStr">
        <is>
          <t>Covers sign-up, hours, join codes, and 'email mcc@medinaacademy.org'.</t>
        </is>
      </c>
      <c r="E33" s="23" t="n"/>
      <c r="F33" s="22" t="n"/>
      <c r="G33" s="23" t="n"/>
    </row>
    <row r="34" ht="42" customHeight="1">
      <c r="A34" s="21" t="inlineStr">
        <is>
          <t>PT24</t>
        </is>
      </c>
      <c r="B34" s="22" t="inlineStr">
        <is>
          <t>As a participant, I want the recycling ribbon on every page.</t>
        </is>
      </c>
      <c r="C34" s="22" t="inlineStr">
        <is>
          <t>Navigate around signed in.</t>
        </is>
      </c>
      <c r="D34" s="22" t="inlineStr">
        <is>
          <t>Green ribbon with cans + 100,000 countdown on every page.</t>
        </is>
      </c>
      <c r="E34" s="23" t="n"/>
      <c r="F34" s="22" t="n"/>
      <c r="G34" s="23" t="n"/>
    </row>
    <row r="35" ht="20" customHeight="1">
      <c r="A35" s="19" t="inlineStr">
        <is>
          <t>Parent — elementary (grades 2–5 child)</t>
        </is>
      </c>
      <c r="B35" s="20" t="n"/>
      <c r="C35" s="20" t="n"/>
      <c r="D35" s="20" t="n"/>
      <c r="E35" s="20" t="n"/>
      <c r="F35" s="20" t="n"/>
      <c r="G35" s="20" t="n"/>
    </row>
    <row r="36" ht="42" customHeight="1">
      <c r="A36" s="21" t="inlineStr">
        <is>
          <t>PE1</t>
        </is>
      </c>
      <c r="B36" s="22" t="inlineStr">
        <is>
          <t>As a parent, I want to register to manage my grade 2–5 child.</t>
        </is>
      </c>
      <c r="C36" s="22" t="inlineStr">
        <is>
          <t>Create account → parent of a 2–5 child.</t>
        </is>
      </c>
      <c r="D36" s="22" t="inlineStr">
        <is>
          <t>Parent account created.</t>
        </is>
      </c>
      <c r="E36" s="23" t="n"/>
      <c r="F36" s="22" t="n"/>
      <c r="G36" s="23" t="n"/>
    </row>
    <row r="37" ht="42" customHeight="1">
      <c r="A37" s="21" t="inlineStr">
        <is>
          <t>PE2</t>
        </is>
      </c>
      <c r="B37" s="22" t="inlineStr">
        <is>
          <t>As an elementary parent, I want the right menu tabs.</t>
        </is>
      </c>
      <c r="C37" s="22" t="inlineStr">
        <is>
          <t>Look at the left menu.</t>
        </is>
      </c>
      <c r="D37" s="22" t="inlineStr">
        <is>
          <t>Dashboard and Find Opportunities (Help in footer).</t>
        </is>
      </c>
      <c r="E37" s="23" t="n"/>
      <c r="F37" s="22" t="n"/>
      <c r="G37" s="23" t="n"/>
    </row>
    <row r="38" ht="42" customHeight="1">
      <c r="A38" s="21" t="inlineStr">
        <is>
          <t>PE3</t>
        </is>
      </c>
      <c r="B38" s="22" t="inlineStr">
        <is>
          <t>As a parent, I want to add a managed child (2–5).</t>
        </is>
      </c>
      <c r="C38" s="22" t="inlineStr">
        <is>
          <t>Add child with name and grade (join code if required).</t>
        </is>
      </c>
      <c r="D38" s="22" t="inlineStr">
        <is>
          <t>Child added; no separate login.</t>
        </is>
      </c>
      <c r="E38" s="23" t="n"/>
      <c r="F38" s="22" t="n"/>
      <c r="G38" s="23" t="n"/>
    </row>
    <row r="39" ht="42" customHeight="1">
      <c r="A39" s="21" t="inlineStr">
        <is>
          <t>PE4</t>
        </is>
      </c>
      <c r="B39" s="22" t="inlineStr">
        <is>
          <t>As a parent with several kids, I want to switch child.</t>
        </is>
      </c>
      <c r="C39" s="22" t="inlineStr">
        <is>
          <t>Use the child picker.</t>
        </is>
      </c>
      <c r="D39" s="22" t="inlineStr">
        <is>
          <t>Selected child's context is used.</t>
        </is>
      </c>
      <c r="E39" s="23" t="n"/>
      <c r="F39" s="22" t="n"/>
      <c r="G39" s="23" t="n"/>
    </row>
    <row r="40" ht="42" customHeight="1">
      <c r="A40" s="21" t="inlineStr">
        <is>
          <t>PE5</t>
        </is>
      </c>
      <c r="B40" s="22" t="inlineStr">
        <is>
          <t>As a parent, I want to sign my child up.</t>
        </is>
      </c>
      <c r="C40" s="22" t="inlineStr">
        <is>
          <t>Find Opportunities → pick child → open event → sign up.</t>
        </is>
      </c>
      <c r="D40" s="22" t="inlineStr">
        <is>
          <t>Child registered; appears on dashboard with calendar.</t>
        </is>
      </c>
      <c r="E40" s="23" t="n"/>
      <c r="F40" s="22" t="n"/>
      <c r="G40" s="23" t="n"/>
    </row>
    <row r="41" ht="42" customHeight="1">
      <c r="A41" s="21" t="inlineStr">
        <is>
          <t>PE6</t>
        </is>
      </c>
      <c r="B41" s="22" t="inlineStr">
        <is>
          <t>As a parent, child sign-up respects grade/org limits.</t>
        </is>
      </c>
      <c r="C41" s="22" t="inlineStr">
        <is>
          <t>Try an ineligible event.</t>
        </is>
      </c>
      <c r="D41" s="22" t="inlineStr">
        <is>
          <t>Hidden or blocked with a message.</t>
        </is>
      </c>
      <c r="E41" s="23" t="n"/>
      <c r="F41" s="22" t="n"/>
      <c r="G41" s="23" t="n"/>
    </row>
    <row r="42" ht="42" customHeight="1">
      <c r="A42" s="21" t="inlineStr">
        <is>
          <t>PE7</t>
        </is>
      </c>
      <c r="B42" s="22" t="inlineStr">
        <is>
          <t>As a parent, I want to see my child's schedule.</t>
        </is>
      </c>
      <c r="C42" s="22" t="inlineStr">
        <is>
          <t>Open the dashboard.</t>
        </is>
      </c>
      <c r="D42" s="22" t="inlineStr">
        <is>
          <t>Child's upcoming events with add-to-calendar; new sign-ups flagged.</t>
        </is>
      </c>
      <c r="E42" s="23" t="n"/>
      <c r="F42" s="22" t="n"/>
      <c r="G42" s="23" t="n"/>
    </row>
    <row r="43" ht="42" customHeight="1">
      <c r="A43" s="21" t="inlineStr">
        <is>
          <t>PE8</t>
        </is>
      </c>
      <c r="B43" s="22" t="inlineStr">
        <is>
          <t>As a parent, I want to invite a co-guardian.</t>
        </is>
      </c>
      <c r="C43" s="22" t="inlineStr">
        <is>
          <t>Invite a co-guardian by email.</t>
        </is>
      </c>
      <c r="D43" s="22" t="inlineStr">
        <is>
          <t>Invite email sent; on registering with that email they share access.</t>
        </is>
      </c>
      <c r="E43" s="23" t="n"/>
      <c r="F43" s="22" t="n"/>
      <c r="G43" s="23" t="n"/>
    </row>
    <row r="44" ht="42" customHeight="1">
      <c r="A44" s="21" t="inlineStr">
        <is>
          <t>PE9</t>
        </is>
      </c>
      <c r="B44" s="22" t="inlineStr">
        <is>
          <t>As a parent, I want notice when my child signs up.</t>
        </is>
      </c>
      <c r="C44" s="22" t="inlineStr">
        <is>
          <t>Sign a child up (or have the other guardian do it).</t>
        </is>
      </c>
      <c r="D44" s="22" t="inlineStr">
        <is>
          <t>A notification/confirmation is produced.</t>
        </is>
      </c>
      <c r="E44" s="23" t="n"/>
      <c r="F44" s="22" t="n"/>
      <c r="G44" s="23" t="n"/>
    </row>
    <row r="45" ht="42" customHeight="1">
      <c r="A45" s="21" t="inlineStr">
        <is>
          <t>PE10</t>
        </is>
      </c>
      <c r="B45" s="22" t="inlineStr">
        <is>
          <t>As a parent, I want to submit my child's hours after an event (child has no login).</t>
        </is>
      </c>
      <c r="C45" s="22" t="inlineStr">
        <is>
          <t>Dashboard → the child's 'Submit hours (past events)' → enter hours → Submit.</t>
        </is>
      </c>
      <c r="D45" s="22" t="inlineStr">
        <is>
          <t>Hours go to the supervisor for approval; status shows 'Waiting for review'.</t>
        </is>
      </c>
      <c r="E45" s="23" t="n"/>
      <c r="F45" s="22" t="n"/>
      <c r="G45" s="23" t="n"/>
    </row>
    <row r="46" ht="42" customHeight="1">
      <c r="A46" s="21" t="inlineStr">
        <is>
          <t>PE11</t>
        </is>
      </c>
      <c r="B46" s="22" t="inlineStr">
        <is>
          <t>As a parent, I want to resubmit my child's rejected hours.</t>
        </is>
      </c>
      <c r="C46" s="22" t="inlineStr">
        <is>
          <t>On a rejected past event, enter corrected hours → Resubmit.</t>
        </is>
      </c>
      <c r="D46" s="22" t="inlineStr">
        <is>
          <t>Returns to 'Waiting for review'.</t>
        </is>
      </c>
      <c r="E46" s="23" t="n"/>
      <c r="F46" s="22" t="n"/>
      <c r="G46" s="23" t="n"/>
    </row>
    <row r="47" ht="42" customHeight="1">
      <c r="A47" s="21" t="inlineStr">
        <is>
          <t>PE12</t>
        </is>
      </c>
      <c r="B47" s="22" t="inlineStr">
        <is>
          <t>As a parent, I want to see each past event's hours status for my child.</t>
        </is>
      </c>
      <c r="C47" s="22" t="inlineStr">
        <is>
          <t>Look at the child's past events list.</t>
        </is>
      </c>
      <c r="D47" s="22" t="inlineStr">
        <is>
          <t>Each shows Approved / Waiting / Rejected as appropriate.</t>
        </is>
      </c>
      <c r="E47" s="23" t="n"/>
      <c r="F47" s="22" t="n"/>
      <c r="G47" s="23" t="n"/>
    </row>
    <row r="48" ht="42" customHeight="1">
      <c r="A48" s="21" t="inlineStr">
        <is>
          <t>PE13</t>
        </is>
      </c>
      <c r="B48" s="22" t="inlineStr">
        <is>
          <t>As a parent, all core participant actions are available to me for my child.</t>
        </is>
      </c>
      <c r="C48" s="22" t="inlineStr">
        <is>
          <t>Confirm: browse, sign up, withdraw, add-to-calendar, submit hours, view progress toward medals.</t>
        </is>
      </c>
      <c r="D48" s="22" t="inlineStr">
        <is>
          <t>All participant-style actions work on the child's behalf (the child never logs in).</t>
        </is>
      </c>
      <c r="E48" s="23" t="n"/>
      <c r="F48" s="22" t="n"/>
      <c r="G48" s="23" t="n"/>
    </row>
    <row r="49" ht="42" customHeight="1">
      <c r="A49" s="21" t="inlineStr">
        <is>
          <t>PE14</t>
        </is>
      </c>
      <c r="B49" s="22" t="inlineStr">
        <is>
          <t>As a parent, I want to log my child's outside/nonprofit volunteering.</t>
        </is>
      </c>
      <c r="C49" s="22" t="inlineStr">
        <is>
          <t>Child card → 'Outside hours' → fill activity, org, date, hours, supervisor → Submit.</t>
        </is>
      </c>
      <c r="D49" s="22" t="inlineStr">
        <is>
          <t>External hours submitted for the child and sent for supervisor approval (proof required over 5h).</t>
        </is>
      </c>
      <c r="E49" s="23" t="n"/>
      <c r="F49" s="22" t="n"/>
      <c r="G49" s="23" t="n"/>
    </row>
    <row r="50" ht="42" customHeight="1">
      <c r="A50" s="21" t="inlineStr">
        <is>
          <t>PE15</t>
        </is>
      </c>
      <c r="B50" s="22" t="inlineStr">
        <is>
          <t>As a parent, I want my child's verified service record.</t>
        </is>
      </c>
      <c r="C50" s="22" t="inlineStr">
        <is>
          <t>Child card → 'Service record'.</t>
        </is>
      </c>
      <c r="D50" s="22" t="inlineStr">
        <is>
          <t>The child's itemized record opens; Print / Save-as-PDF works.</t>
        </is>
      </c>
      <c r="E50" s="23" t="n"/>
      <c r="F50" s="22" t="n"/>
      <c r="G50" s="23" t="n"/>
    </row>
    <row r="51" ht="20" customHeight="1">
      <c r="A51" s="19" t="inlineStr">
        <is>
          <t>Parent — viewer (grades 6–12 student)</t>
        </is>
      </c>
      <c r="B51" s="20" t="n"/>
      <c r="C51" s="20" t="n"/>
      <c r="D51" s="20" t="n"/>
      <c r="E51" s="20" t="n"/>
      <c r="F51" s="20" t="n"/>
      <c r="G51" s="20" t="n"/>
    </row>
    <row r="52" ht="42" customHeight="1">
      <c r="A52" s="21" t="inlineStr">
        <is>
          <t>PV1</t>
        </is>
      </c>
      <c r="B52" s="22" t="inlineStr">
        <is>
          <t>As a parent of a 6–12 student, I want to register for view-only access.</t>
        </is>
      </c>
      <c r="C52" s="22" t="inlineStr">
        <is>
          <t>Create account → parent of a 6–12 student.</t>
        </is>
      </c>
      <c r="D52" s="22" t="inlineStr">
        <is>
          <t>Account created; no invite required to register.</t>
        </is>
      </c>
      <c r="E52" s="23" t="n"/>
      <c r="F52" s="22" t="n"/>
      <c r="G52" s="23" t="n"/>
    </row>
    <row r="53" ht="42" customHeight="1">
      <c r="A53" s="21" t="inlineStr">
        <is>
          <t>PV2</t>
        </is>
      </c>
      <c r="B53" s="22" t="inlineStr">
        <is>
          <t>As a viewer parent, my student links automatically by email.</t>
        </is>
      </c>
      <c r="C53" s="22" t="inlineStr">
        <is>
          <t>Have a student enter this exact email as their parent email (before or after you register).</t>
        </is>
      </c>
      <c r="D53" s="22" t="inlineStr">
        <is>
          <t>The student appears on your dashboard automatically; empty until then.</t>
        </is>
      </c>
      <c r="E53" s="23" t="n"/>
      <c r="F53" s="22" t="n"/>
      <c r="G53" s="23" t="n"/>
    </row>
    <row r="54" ht="42" customHeight="1">
      <c r="A54" s="21" t="inlineStr">
        <is>
          <t>PV3</t>
        </is>
      </c>
      <c r="B54" s="22" t="inlineStr">
        <is>
          <t>As a viewer parent, I want to see my student's schedule/progress.</t>
        </is>
      </c>
      <c r="C54" s="22" t="inlineStr">
        <is>
          <t>Open the dashboard.</t>
        </is>
      </c>
      <c r="D54" s="22" t="inlineStr">
        <is>
          <t>View-only schedule and progress.</t>
        </is>
      </c>
      <c r="E54" s="23" t="n"/>
      <c r="F54" s="22" t="n"/>
      <c r="G54" s="23" t="n"/>
    </row>
    <row r="55" ht="42" customHeight="1">
      <c r="A55" s="21" t="inlineStr">
        <is>
          <t>PV4</t>
        </is>
      </c>
      <c r="B55" s="22" t="inlineStr">
        <is>
          <t>As a viewer parent, I do NOT sign the student up.</t>
        </is>
      </c>
      <c r="C55" s="22" t="inlineStr">
        <is>
          <t>Look for a sign-up action.</t>
        </is>
      </c>
      <c r="D55" s="22" t="inlineStr">
        <is>
          <t>No sign-up on the student's behalf — the student self-serves.</t>
        </is>
      </c>
      <c r="E55" s="23" t="n"/>
      <c r="F55" s="22" t="n"/>
      <c r="G55" s="23" t="n"/>
    </row>
    <row r="56" ht="42" customHeight="1">
      <c r="A56" s="21" t="inlineStr">
        <is>
          <t>PV5</t>
        </is>
      </c>
      <c r="B56" s="22" t="inlineStr">
        <is>
          <t>As a viewer parent, I want to invite a co-guardian.</t>
        </is>
      </c>
      <c r="C56" s="22" t="inlineStr">
        <is>
          <t>Invite a co-guardian by email.</t>
        </is>
      </c>
      <c r="D56" s="22" t="inlineStr">
        <is>
          <t>Invite email sent; shared access on registration.</t>
        </is>
      </c>
      <c r="E56" s="23" t="n"/>
      <c r="F56" s="22" t="n"/>
      <c r="G56" s="23" t="n"/>
    </row>
    <row r="57" ht="20" customHeight="1">
      <c r="A57" s="19" t="inlineStr">
        <is>
          <t>Supervisor (created by an Admin)</t>
        </is>
      </c>
      <c r="B57" s="20" t="n"/>
      <c r="C57" s="20" t="n"/>
      <c r="D57" s="20" t="n"/>
      <c r="E57" s="20" t="n"/>
      <c r="F57" s="20" t="n"/>
      <c r="G57" s="20" t="n"/>
    </row>
    <row r="58" ht="42" customHeight="1">
      <c r="A58" s="21" t="inlineStr">
        <is>
          <t>SV1</t>
        </is>
      </c>
      <c r="B58" s="22" t="inlineStr">
        <is>
          <t>As the program, a supervisor cannot self-register.</t>
        </is>
      </c>
      <c r="C58" s="22" t="inlineStr">
        <is>
          <t>Review the sign-up options.</t>
        </is>
      </c>
      <c r="D58" s="22" t="inlineStr">
        <is>
          <t>No supervisor option exists on registration.</t>
        </is>
      </c>
      <c r="E58" s="23" t="n"/>
      <c r="F58" s="22" t="n"/>
      <c r="G58" s="23" t="n"/>
    </row>
    <row r="59" ht="42" customHeight="1">
      <c r="A59" s="21" t="inlineStr">
        <is>
          <t>SV2</t>
        </is>
      </c>
      <c r="B59" s="22" t="inlineStr">
        <is>
          <t>As a new supervisor, I get an invite to set my password.</t>
        </is>
      </c>
      <c r="C59" s="22" t="inlineStr">
        <is>
          <t>Have an Admin create your account; open the invite email; set password; sign in.</t>
        </is>
      </c>
      <c r="D59" s="22" t="inlineStr">
        <is>
          <t>Invite email arrives with a working set-password link; you can sign in.</t>
        </is>
      </c>
      <c r="E59" s="23" t="n"/>
      <c r="F59" s="22" t="n"/>
      <c r="G59" s="23" t="n"/>
    </row>
    <row r="60" ht="42" customHeight="1">
      <c r="A60" s="21" t="inlineStr">
        <is>
          <t>SV3</t>
        </is>
      </c>
      <c r="B60" s="22" t="inlineStr">
        <is>
          <t>As a supervisor, I want the correct 7 left-menu tabs.</t>
        </is>
      </c>
      <c r="C60" s="22" t="inlineStr">
        <is>
          <t>Look at the left menu.</t>
        </is>
      </c>
      <c r="D60" s="22" t="inlineStr">
        <is>
          <t>Dashboard, Pending Reviews, Reviewed History, My Events, All Opportunities, My Hours, Help.</t>
        </is>
      </c>
      <c r="E60" s="23" t="n"/>
      <c r="F60" s="22" t="n"/>
      <c r="G60" s="23" t="n"/>
    </row>
    <row r="61" ht="42" customHeight="1">
      <c r="A61" s="21" t="inlineStr">
        <is>
          <t>SV4</t>
        </is>
      </c>
      <c r="B61" s="22" t="inlineStr">
        <is>
          <t>As a supervisor, I want a dashboard.</t>
        </is>
      </c>
      <c r="C61" s="22" t="inlineStr">
        <is>
          <t>Open the dashboard.</t>
        </is>
      </c>
      <c r="D61" s="22" t="inlineStr">
        <is>
          <t>Review queue, approved/rejected counts, registrations, hours, upcoming events + Roster links.</t>
        </is>
      </c>
      <c r="E61" s="23" t="n"/>
      <c r="F61" s="22" t="n"/>
      <c r="G61" s="23" t="n"/>
    </row>
    <row r="62" ht="42" customHeight="1">
      <c r="A62" s="21" t="inlineStr">
        <is>
          <t>SV5</t>
        </is>
      </c>
      <c r="B62" s="22" t="inlineStr">
        <is>
          <t>As a supervisor, I want to approve hours.</t>
        </is>
      </c>
      <c r="C62" s="22" t="inlineStr">
        <is>
          <t>Pending Reviews → open → Approve.</t>
        </is>
      </c>
      <c r="D62" s="22" t="inlineStr">
        <is>
          <t>Approved; moves to Reviewed History; participant total updates; email sent.</t>
        </is>
      </c>
      <c r="E62" s="23" t="n"/>
      <c r="F62" s="22" t="n"/>
      <c r="G62" s="23" t="n"/>
    </row>
    <row r="63" ht="42" customHeight="1">
      <c r="A63" s="21" t="inlineStr">
        <is>
          <t>SV6</t>
        </is>
      </c>
      <c r="B63" s="22" t="inlineStr">
        <is>
          <t>As a supervisor, I want to reject hours with a reason.</t>
        </is>
      </c>
      <c r="C63" s="22" t="inlineStr">
        <is>
          <t>Reject without a reason, then with one.</t>
        </is>
      </c>
      <c r="D63" s="22" t="inlineStr">
        <is>
          <t>Blocked until a reason is given; then rejected and the participant notified.</t>
        </is>
      </c>
      <c r="E63" s="23" t="n"/>
      <c r="F63" s="22" t="n"/>
      <c r="G63" s="23" t="n"/>
    </row>
    <row r="64" ht="42" customHeight="1">
      <c r="A64" s="21" t="inlineStr">
        <is>
          <t>SV7</t>
        </is>
      </c>
      <c r="B64" s="22" t="inlineStr">
        <is>
          <t>As a supervisor, I want to review external submissions.</t>
        </is>
      </c>
      <c r="C64" s="22" t="inlineStr">
        <is>
          <t>Pending Reviews → external tab → approve/reject.</t>
        </is>
      </c>
      <c r="D64" s="22" t="inlineStr">
        <is>
          <t>External items reviewable, including any proof.</t>
        </is>
      </c>
      <c r="E64" s="23" t="n"/>
      <c r="F64" s="22" t="n"/>
      <c r="G64" s="23" t="n"/>
    </row>
    <row r="65" ht="42" customHeight="1">
      <c r="A65" s="21" t="inlineStr">
        <is>
          <t>SV8</t>
        </is>
      </c>
      <c r="B65" s="22" t="inlineStr">
        <is>
          <t>As a supervisor, I want to create an event.</t>
        </is>
      </c>
      <c r="C65" s="22" t="inlineStr">
        <is>
          <t>New Event → title, description, slot, address, date, times, capacity, grade limits → save.</t>
        </is>
      </c>
      <c r="D65" s="22" t="inlineStr">
        <is>
          <t>Credit auto-calculated from times; event created in My Events.</t>
        </is>
      </c>
      <c r="E65" s="23" t="n"/>
      <c r="F65" s="22" t="n"/>
      <c r="G65" s="23" t="n"/>
    </row>
    <row r="66" ht="42" customHeight="1">
      <c r="A66" s="21" t="inlineStr">
        <is>
          <t>SV9</t>
        </is>
      </c>
      <c r="B66" s="22" t="inlineStr">
        <is>
          <t>As a supervisor, I want to edit an event.</t>
        </is>
      </c>
      <c r="C66" s="22" t="inlineStr">
        <is>
          <t>My Events → edit → save.</t>
        </is>
      </c>
      <c r="D66" s="22" t="inlineStr">
        <is>
          <t>Changes persist and show to participants.</t>
        </is>
      </c>
      <c r="E66" s="23" t="n"/>
      <c r="F66" s="22" t="n"/>
      <c r="G66" s="23" t="n"/>
    </row>
    <row r="67" ht="42" customHeight="1">
      <c r="A67" s="21" t="inlineStr">
        <is>
          <t>SV10</t>
        </is>
      </c>
      <c r="B67" s="22" t="inlineStr">
        <is>
          <t>As a supervisor, I want to delete an event with no approved hours.</t>
        </is>
      </c>
      <c r="C67" s="22" t="inlineStr">
        <is>
          <t>Delete such an event → confirm.</t>
        </is>
      </c>
      <c r="D67" s="22" t="inlineStr">
        <is>
          <t>Event deleted.</t>
        </is>
      </c>
      <c r="E67" s="23" t="n"/>
      <c r="F67" s="22" t="n"/>
      <c r="G67" s="23" t="n"/>
    </row>
    <row r="68" ht="42" customHeight="1">
      <c r="A68" s="21" t="inlineStr">
        <is>
          <t>SV11</t>
        </is>
      </c>
      <c r="B68" s="22" t="inlineStr">
        <is>
          <t>As a supervisor, deleting an event with approved hours is blocked.</t>
        </is>
      </c>
      <c r="C68" s="22" t="inlineStr">
        <is>
          <t>Try to delete an event that has approved hours.</t>
        </is>
      </c>
      <c r="D68" s="22" t="inlineStr">
        <is>
          <t>Blocked with a message that approved hours must be preserved.</t>
        </is>
      </c>
      <c r="E68" s="23" t="n"/>
      <c r="F68" s="22" t="n"/>
      <c r="G68" s="23" t="n"/>
    </row>
    <row r="69" ht="42" customHeight="1">
      <c r="A69" s="21" t="inlineStr">
        <is>
          <t>SV12</t>
        </is>
      </c>
      <c r="B69" s="22" t="inlineStr">
        <is>
          <t>As a supervisor, I want to see who signed up.</t>
        </is>
      </c>
      <c r="C69" s="22" t="inlineStr">
        <is>
          <t>Open the event Roster.</t>
        </is>
      </c>
      <c r="D69" s="22" t="inlineStr">
        <is>
          <t>Registrants listed with grade and status.</t>
        </is>
      </c>
      <c r="E69" s="23" t="n"/>
      <c r="F69" s="22" t="n"/>
      <c r="G69" s="23" t="n"/>
    </row>
    <row r="70" ht="42" customHeight="1">
      <c r="A70" s="21" t="inlineStr">
        <is>
          <t>SV13</t>
        </is>
      </c>
      <c r="B70" s="22" t="inlineStr">
        <is>
          <t>As a supervisor, I want to check people in / mark no-show.</t>
        </is>
      </c>
      <c r="C70" s="22" t="inlineStr">
        <is>
          <t>On the roster, Check in and Mark no-show.</t>
        </is>
      </c>
      <c r="D70" s="22" t="inlineStr">
        <is>
          <t>Status updates and persists.</t>
        </is>
      </c>
      <c r="E70" s="23" t="n"/>
      <c r="F70" s="22" t="n"/>
      <c r="G70" s="23" t="n"/>
    </row>
    <row r="71" ht="42" customHeight="1">
      <c r="A71" s="21" t="inlineStr">
        <is>
          <t>SV14</t>
        </is>
      </c>
      <c r="B71" s="22" t="inlineStr">
        <is>
          <t>As a supervisor, I want to message everyone signed up.</t>
        </is>
      </c>
      <c r="C71" s="22" t="inlineStr">
        <is>
          <t>Roster → Message attendees → subject+message → send (include guardians on).</t>
        </is>
      </c>
      <c r="D71" s="22" t="inlineStr">
        <is>
          <t>Each registrant (and guardians) emailed individually; recipient count shown.</t>
        </is>
      </c>
      <c r="E71" s="23" t="n"/>
      <c r="F71" s="22" t="n"/>
      <c r="G71" s="23" t="n"/>
    </row>
    <row r="72" ht="42" customHeight="1">
      <c r="A72" s="21" t="inlineStr">
        <is>
          <t>SV15</t>
        </is>
      </c>
      <c r="B72" s="22" t="inlineStr">
        <is>
          <t>As a supervisor, I want a history of what I reviewed.</t>
        </is>
      </c>
      <c r="C72" s="22" t="inlineStr">
        <is>
          <t>Open Reviewed History.</t>
        </is>
      </c>
      <c r="D72" s="22" t="inlineStr">
        <is>
          <t>Every approved/rejected item with dates and volunteers.</t>
        </is>
      </c>
      <c r="E72" s="23" t="n"/>
      <c r="F72" s="22" t="n"/>
      <c r="G72" s="23" t="n"/>
    </row>
    <row r="73" ht="42" customHeight="1">
      <c r="A73" s="21" t="inlineStr">
        <is>
          <t>SV16</t>
        </is>
      </c>
      <c r="B73" s="22" t="inlineStr">
        <is>
          <t>As a supervisor, I want to browse all opportunities view-only.</t>
        </is>
      </c>
      <c r="C73" s="22" t="inlineStr">
        <is>
          <t>All Opportunities → search / upcoming-past.</t>
        </is>
      </c>
      <c r="D73" s="22" t="inlineStr">
        <is>
          <t>Every event listed read-only; can't edit others' events.</t>
        </is>
      </c>
      <c r="E73" s="23" t="n"/>
      <c r="F73" s="22" t="n"/>
      <c r="G73" s="23" t="n"/>
    </row>
    <row r="74" ht="42" customHeight="1">
      <c r="A74" s="21" t="inlineStr">
        <is>
          <t>SV17</t>
        </is>
      </c>
      <c r="B74" s="22" t="inlineStr">
        <is>
          <t>As a supervisor, I want to log my own adult hours.</t>
        </is>
      </c>
      <c r="C74" s="22" t="inlineStr">
        <is>
          <t>My Hours → log an activity, date, hours → save.</t>
        </is>
      </c>
      <c r="D74" s="22" t="inlineStr">
        <is>
          <t>Recorded instantly with a running total; clearly NOT part of the student competition.</t>
        </is>
      </c>
      <c r="E74" s="23" t="n"/>
      <c r="F74" s="22" t="n"/>
      <c r="G74" s="23" t="n"/>
    </row>
    <row r="75" ht="42" customHeight="1">
      <c r="A75" s="21" t="inlineStr">
        <is>
          <t>SV18</t>
        </is>
      </c>
      <c r="B75" s="22" t="inlineStr">
        <is>
          <t>As a supervisor, I want to delete an adult-hours entry.</t>
        </is>
      </c>
      <c r="C75" s="22" t="inlineStr">
        <is>
          <t>My Hours → delete an entry → confirm.</t>
        </is>
      </c>
      <c r="D75" s="22" t="inlineStr">
        <is>
          <t>Removed; total updates.</t>
        </is>
      </c>
      <c r="E75" s="23" t="n"/>
      <c r="F75" s="22" t="n"/>
      <c r="G75" s="23" t="n"/>
    </row>
    <row r="76" ht="42" customHeight="1">
      <c r="A76" s="21" t="inlineStr">
        <is>
          <t>SV19</t>
        </is>
      </c>
      <c r="B76" s="22" t="inlineStr">
        <is>
          <t>As a supervisor, I must NOT access user or org management.</t>
        </is>
      </c>
      <c r="C76" s="22" t="inlineStr">
        <is>
          <t>Look for Users / Organizations in the menu.</t>
        </is>
      </c>
      <c r="D76" s="22" t="inlineStr">
        <is>
          <t>Those tabs are absent; direct URLs are blocked.</t>
        </is>
      </c>
      <c r="E76" s="23" t="n"/>
      <c r="F76" s="22" t="n"/>
      <c r="G76" s="23" t="n"/>
    </row>
    <row r="77" ht="20" customHeight="1">
      <c r="A77" s="19" t="inlineStr">
        <is>
          <t>Admin (org-scoped)</t>
        </is>
      </c>
      <c r="B77" s="20" t="n"/>
      <c r="C77" s="20" t="n"/>
      <c r="D77" s="20" t="n"/>
      <c r="E77" s="20" t="n"/>
      <c r="F77" s="20" t="n"/>
      <c r="G77" s="20" t="n"/>
    </row>
    <row r="78" ht="42" customHeight="1">
      <c r="A78" s="21" t="inlineStr">
        <is>
          <t>AD1</t>
        </is>
      </c>
      <c r="B78" s="22" t="inlineStr">
        <is>
          <t>As an Admin, I want the correct menu tabs.</t>
        </is>
      </c>
      <c r="C78" s="22" t="inlineStr">
        <is>
          <t>Look at the left menu.</t>
        </is>
      </c>
      <c r="D78" s="22" t="inlineStr">
        <is>
          <t>Dashboard, Pending Reviews, Reviewed History, My Events, All Opportunities, Users, Organizations, My Hours, Help.</t>
        </is>
      </c>
      <c r="E78" s="23" t="n"/>
      <c r="F78" s="22" t="n"/>
      <c r="G78" s="23" t="n"/>
    </row>
    <row r="79" ht="42" customHeight="1">
      <c r="A79" s="21" t="inlineStr">
        <is>
          <t>AD2</t>
        </is>
      </c>
      <c r="B79" s="22" t="inlineStr">
        <is>
          <t>As an Admin, I can do everything a supervisor can.</t>
        </is>
      </c>
      <c r="C79" s="22" t="inlineStr">
        <is>
          <t>Spot-check: approve an item and create an event.</t>
        </is>
      </c>
      <c r="D79" s="22" t="inlineStr">
        <is>
          <t>Both work.</t>
        </is>
      </c>
      <c r="E79" s="23" t="n"/>
      <c r="F79" s="22" t="n"/>
      <c r="G79" s="23" t="n"/>
    </row>
    <row r="80" ht="42" customHeight="1">
      <c r="A80" s="21" t="inlineStr">
        <is>
          <t>AD3</t>
        </is>
      </c>
      <c r="B80" s="22" t="inlineStr">
        <is>
          <t>As an Admin, I only see my org's non-admin users.</t>
        </is>
      </c>
      <c r="C80" s="22" t="inlineStr">
        <is>
          <t>Open Users.</t>
        </is>
      </c>
      <c r="D80" s="22" t="inlineStr">
        <is>
          <t>Only participants/parents/supervisors in your org; no admins/super admins; no other orgs.</t>
        </is>
      </c>
      <c r="E80" s="23" t="n"/>
      <c r="F80" s="22" t="n"/>
      <c r="G80" s="23" t="n"/>
    </row>
    <row r="81" ht="42" customHeight="1">
      <c r="A81" s="21" t="inlineStr">
        <is>
          <t>AD4</t>
        </is>
      </c>
      <c r="B81" s="22" t="inlineStr">
        <is>
          <t>As an Admin, I want to add a supervisor.</t>
        </is>
      </c>
      <c r="C81" s="22" t="inlineStr">
        <is>
          <t>Users → Add user → Supervisor → save.</t>
        </is>
      </c>
      <c r="D81" s="22" t="inlineStr">
        <is>
          <t>Supervisor created, stamped to your org; invite email sent.</t>
        </is>
      </c>
      <c r="E81" s="23" t="n"/>
      <c r="F81" s="22" t="n"/>
      <c r="G81" s="23" t="n"/>
    </row>
    <row r="82" ht="42" customHeight="1">
      <c r="A82" s="21" t="inlineStr">
        <is>
          <t>AD5</t>
        </is>
      </c>
      <c r="B82" s="22" t="inlineStr">
        <is>
          <t>As an Admin, I want to create a participant as a fallback.</t>
        </is>
      </c>
      <c r="C82" s="22" t="inlineStr">
        <is>
          <t>Users → Add user → Participant → save.</t>
        </is>
      </c>
      <c r="D82" s="22" t="inlineStr">
        <is>
          <t>Participant created with a set-password invite (no silent password).</t>
        </is>
      </c>
      <c r="E82" s="23" t="n"/>
      <c r="F82" s="22" t="n"/>
      <c r="G82" s="23" t="n"/>
    </row>
    <row r="83" ht="42" customHeight="1">
      <c r="A83" s="21" t="inlineStr">
        <is>
          <t>AD6</t>
        </is>
      </c>
      <c r="B83" s="22" t="inlineStr">
        <is>
          <t>As an Admin, I want to grant participant hours.</t>
        </is>
      </c>
      <c r="C83" s="22" t="inlineStr">
        <is>
          <t>Open a participant in your org → Add hours.</t>
        </is>
      </c>
      <c r="D83" s="22" t="inlineStr">
        <is>
          <t>Hours auto-approved; count toward their total/medals.</t>
        </is>
      </c>
      <c r="E83" s="23" t="n"/>
      <c r="F83" s="22" t="n"/>
      <c r="G83" s="23" t="n"/>
    </row>
    <row r="84" ht="42" customHeight="1">
      <c r="A84" s="21" t="inlineStr">
        <is>
          <t>AD7</t>
        </is>
      </c>
      <c r="B84" s="22" t="inlineStr">
        <is>
          <t>As an Admin, I want a participant's service record.</t>
        </is>
      </c>
      <c r="C84" s="22" t="inlineStr">
        <is>
          <t>Users → Service record for a participant in your org.</t>
        </is>
      </c>
      <c r="D84" s="22" t="inlineStr">
        <is>
          <t>Record opens.</t>
        </is>
      </c>
      <c r="E84" s="23" t="n"/>
      <c r="F84" s="22" t="n"/>
      <c r="G84" s="23" t="n"/>
    </row>
    <row r="85" ht="42" customHeight="1">
      <c r="A85" s="21" t="inlineStr">
        <is>
          <t>AD8</t>
        </is>
      </c>
      <c r="B85" s="22" t="inlineStr">
        <is>
          <t>As an Admin, I want to edit/delete my org's users.</t>
        </is>
      </c>
      <c r="C85" s="22" t="inlineStr">
        <is>
          <t>Edit a name/phone; delete a test user.</t>
        </is>
      </c>
      <c r="D85" s="22" t="inlineStr">
        <is>
          <t>Changes apply within your org.</t>
        </is>
      </c>
      <c r="E85" s="23" t="n"/>
      <c r="F85" s="22" t="n"/>
      <c r="G85" s="23" t="n"/>
    </row>
    <row r="86" ht="42" customHeight="1">
      <c r="A86" s="21" t="inlineStr">
        <is>
          <t>AD9</t>
        </is>
      </c>
      <c r="B86" s="22" t="inlineStr">
        <is>
          <t>As an Admin, I must NOT act on users outside my org.</t>
        </is>
      </c>
      <c r="C86" s="22" t="inlineStr">
        <is>
          <t>Attempt to reach another org's user (e.g. direct URL).</t>
        </is>
      </c>
      <c r="D86" s="22" t="inlineStr">
        <is>
          <t>Blocked / not visible.</t>
        </is>
      </c>
      <c r="E86" s="23" t="n"/>
      <c r="F86" s="22" t="n"/>
      <c r="G86" s="23" t="n"/>
    </row>
    <row r="87" ht="42" customHeight="1">
      <c r="A87" s="21" t="inlineStr">
        <is>
          <t>AD10</t>
        </is>
      </c>
      <c r="B87" s="22" t="inlineStr">
        <is>
          <t>As an Admin, I cannot grant Admin access or manage admins.</t>
        </is>
      </c>
      <c r="C87" s="22" t="inlineStr">
        <is>
          <t>Look for the 'grant Admin access' action.</t>
        </is>
      </c>
      <c r="D87" s="22" t="inlineStr">
        <is>
          <t>No such button; attempts are blocked server-side.</t>
        </is>
      </c>
      <c r="E87" s="23" t="n"/>
      <c r="F87" s="22" t="n"/>
      <c r="G87" s="23" t="n"/>
    </row>
    <row r="88" ht="42" customHeight="1">
      <c r="A88" s="21" t="inlineStr">
        <is>
          <t>AD11</t>
        </is>
      </c>
      <c r="B88" s="22" t="inlineStr">
        <is>
          <t>As an Admin, I see and edit only my own organization.</t>
        </is>
      </c>
      <c r="C88" s="22" t="inlineStr">
        <is>
          <t>Open Organizations.</t>
        </is>
      </c>
      <c r="D88" s="22" t="inlineStr">
        <is>
          <t>Only your org shows; you can edit its settings.</t>
        </is>
      </c>
      <c r="E88" s="23" t="n"/>
      <c r="F88" s="22" t="n"/>
      <c r="G88" s="23" t="n"/>
    </row>
    <row r="89" ht="42" customHeight="1">
      <c r="A89" s="21" t="inlineStr">
        <is>
          <t>AD12</t>
        </is>
      </c>
      <c r="B89" s="22" t="inlineStr">
        <is>
          <t>As an Admin, I want to generate/rotate my org's join code.</t>
        </is>
      </c>
      <c r="C89" s="22" t="inlineStr">
        <is>
          <t>Organizations → set/generate a join code → save.</t>
        </is>
      </c>
      <c r="D89" s="22" t="inlineStr">
        <is>
          <t>Join code saved; usable at sign-up.</t>
        </is>
      </c>
      <c r="E89" s="23" t="n"/>
      <c r="F89" s="22" t="n"/>
      <c r="G89" s="23" t="n"/>
    </row>
    <row r="90" ht="42" customHeight="1">
      <c r="A90" s="21" t="inlineStr">
        <is>
          <t>AD13</t>
        </is>
      </c>
      <c r="B90" s="22" t="inlineStr">
        <is>
          <t>As an Admin, I cannot create organizations.</t>
        </is>
      </c>
      <c r="C90" s="22" t="inlineStr">
        <is>
          <t>Look for 'Add organization'.</t>
        </is>
      </c>
      <c r="D90" s="22" t="inlineStr">
        <is>
          <t>No Add button; creation blocked.</t>
        </is>
      </c>
      <c r="E90" s="23" t="n"/>
      <c r="F90" s="22" t="n"/>
      <c r="G90" s="23" t="n"/>
    </row>
    <row r="91" ht="42" customHeight="1">
      <c r="A91" s="21" t="inlineStr">
        <is>
          <t>AD14</t>
        </is>
      </c>
      <c r="B91" s="22" t="inlineStr">
        <is>
          <t>As an Admin, I cannot change the recycling cans total.</t>
        </is>
      </c>
      <c r="C91" s="22" t="inlineStr">
        <is>
          <t>Look for the cans/bin admin control.</t>
        </is>
      </c>
      <c r="D91" s="22" t="inlineStr">
        <is>
          <t>Not available (Super Admin only).</t>
        </is>
      </c>
      <c r="E91" s="23" t="n"/>
      <c r="F91" s="22" t="n"/>
      <c r="G91" s="23" t="n"/>
    </row>
    <row r="92" ht="20" customHeight="1">
      <c r="A92" s="19" t="inlineStr">
        <is>
          <t>Super Admin (global)</t>
        </is>
      </c>
      <c r="B92" s="20" t="n"/>
      <c r="C92" s="20" t="n"/>
      <c r="D92" s="20" t="n"/>
      <c r="E92" s="20" t="n"/>
      <c r="F92" s="20" t="n"/>
      <c r="G92" s="20" t="n"/>
    </row>
    <row r="93" ht="42" customHeight="1">
      <c r="A93" s="21" t="inlineStr">
        <is>
          <t>SA1</t>
        </is>
      </c>
      <c r="B93" s="22" t="inlineStr">
        <is>
          <t>As a Super Admin, I want the correct menu tabs.</t>
        </is>
      </c>
      <c r="C93" s="22" t="inlineStr">
        <is>
          <t>Look at the left menu.</t>
        </is>
      </c>
      <c r="D93" s="22" t="inlineStr">
        <is>
          <t>Dashboard, Reports, Users, Events, Organizations (Help in footer).</t>
        </is>
      </c>
      <c r="E93" s="23" t="n"/>
      <c r="F93" s="22" t="n"/>
      <c r="G93" s="23" t="n"/>
    </row>
    <row r="94" ht="42" customHeight="1">
      <c r="A94" s="21" t="inlineStr">
        <is>
          <t>SA2</t>
        </is>
      </c>
      <c r="B94" s="22" t="inlineStr">
        <is>
          <t>As a Super Admin, I can do everything an Admin can, across all orgs.</t>
        </is>
      </c>
      <c r="C94" s="22" t="inlineStr">
        <is>
          <t>Spot-check user + org actions on more than one org.</t>
        </is>
      </c>
      <c r="D94" s="22" t="inlineStr">
        <is>
          <t>All allowed regardless of org.</t>
        </is>
      </c>
      <c r="E94" s="23" t="n"/>
      <c r="F94" s="22" t="n"/>
      <c r="G94" s="23" t="n"/>
    </row>
    <row r="95" ht="42" customHeight="1">
      <c r="A95" s="21" t="inlineStr">
        <is>
          <t>SA3</t>
        </is>
      </c>
      <c r="B95" s="22" t="inlineStr">
        <is>
          <t>As a Super Admin, I want to create users incl. Supervisor and Super Admin.</t>
        </is>
      </c>
      <c r="C95" s="22" t="inlineStr">
        <is>
          <t>Users → Add user → each role.</t>
        </is>
      </c>
      <c r="D95" s="22" t="inlineStr">
        <is>
          <t>Participant/Supervisor/Super Admin options available; account created + invite email.</t>
        </is>
      </c>
      <c r="E95" s="23" t="n"/>
      <c r="F95" s="22" t="n"/>
      <c r="G95" s="23" t="n"/>
    </row>
    <row r="96" ht="42" customHeight="1">
      <c r="A96" s="21" t="inlineStr">
        <is>
          <t>SA4</t>
        </is>
      </c>
      <c r="B96" s="22" t="inlineStr">
        <is>
          <t>As a Super Admin, I want to grant/revoke Admin access.</t>
        </is>
      </c>
      <c r="C96" s="22" t="inlineStr">
        <is>
          <t>Open a user → grant Admin access → check org(s) → save; then uncheck all → save.</t>
        </is>
      </c>
      <c r="D96" s="22" t="inlineStr">
        <is>
          <t>Checking orgs makes an Admin; unchecking all reverts to participant.</t>
        </is>
      </c>
      <c r="E96" s="23" t="n"/>
      <c r="F96" s="22" t="n"/>
      <c r="G96" s="23" t="n"/>
    </row>
    <row r="97" ht="42" customHeight="1">
      <c r="A97" s="21" t="inlineStr">
        <is>
          <t>SA5</t>
        </is>
      </c>
      <c r="B97" s="22" t="inlineStr">
        <is>
          <t>As a Super Admin, I want to create organizations + join codes.</t>
        </is>
      </c>
      <c r="C97" s="22" t="inlineStr">
        <is>
          <t>Organizations → Add organization → set details + join code.</t>
        </is>
      </c>
      <c r="D97" s="22" t="inlineStr">
        <is>
          <t>Org created with its join code.</t>
        </is>
      </c>
      <c r="E97" s="23" t="n"/>
      <c r="F97" s="22" t="n"/>
      <c r="G97" s="23" t="n"/>
    </row>
    <row r="98" ht="42" customHeight="1">
      <c r="A98" s="21" t="inlineStr">
        <is>
          <t>SA6</t>
        </is>
      </c>
      <c r="B98" s="22" t="inlineStr">
        <is>
          <t>As a Super Admin, I want to find users by type.</t>
        </is>
      </c>
      <c r="C98" s="22" t="inlineStr">
        <is>
          <t>Users → role filter pills + search.</t>
        </is>
      </c>
      <c r="D98" s="22" t="inlineStr">
        <is>
          <t>Filter by role with counts; search by name/email across all orgs.</t>
        </is>
      </c>
      <c r="E98" s="23" t="n"/>
      <c r="F98" s="22" t="n"/>
      <c r="G98" s="23" t="n"/>
    </row>
    <row r="99" ht="42" customHeight="1">
      <c r="A99" s="21" t="inlineStr">
        <is>
          <t>SA7</t>
        </is>
      </c>
      <c r="B99" s="22" t="inlineStr">
        <is>
          <t>As a Super Admin, I want to search events.</t>
        </is>
      </c>
      <c r="C99" s="22" t="inlineStr">
        <is>
          <t>Events → search + date range; check supervisor/org per card.</t>
        </is>
      </c>
      <c r="D99" s="22" t="inlineStr">
        <is>
          <t>Filters work; each event shows supervisor and organization.</t>
        </is>
      </c>
      <c r="E99" s="23" t="n"/>
      <c r="F99" s="22" t="n"/>
      <c r="G99" s="23" t="n"/>
    </row>
    <row r="100" ht="42" customHeight="1">
      <c r="A100" s="21" t="inlineStr">
        <is>
          <t>SA8</t>
        </is>
      </c>
      <c r="B100" s="22" t="inlineStr">
        <is>
          <t>As a Super Admin, I want clear event-visibility labels.</t>
        </is>
      </c>
      <c r="C100" s="22" t="inlineStr">
        <is>
          <t>New Event → 'Who can see this'.</t>
        </is>
      </c>
      <c r="D100" s="22" t="inlineStr">
        <is>
          <t>'Open to all (community)' and 'Only &lt;org&gt; students' with helper text.</t>
        </is>
      </c>
      <c r="E100" s="23" t="n"/>
      <c r="F100" s="22" t="n"/>
      <c r="G100" s="23" t="n"/>
    </row>
    <row r="101" ht="42" customHeight="1">
      <c r="A101" s="21" t="inlineStr">
        <is>
          <t>SA9</t>
        </is>
      </c>
      <c r="B101" s="22" t="inlineStr">
        <is>
          <t>As a Super Admin, I want program-wide reports.</t>
        </is>
      </c>
      <c r="C101" s="22" t="inlineStr">
        <is>
          <t>Open Reports / Dashboard.</t>
        </is>
      </c>
      <c r="D101" s="22" t="inlineStr">
        <is>
          <t>Totals and charts across the whole program.</t>
        </is>
      </c>
      <c r="E101" s="23" t="n"/>
      <c r="F101" s="22" t="n"/>
      <c r="G101" s="23" t="n"/>
    </row>
    <row r="102" ht="42" customHeight="1">
      <c r="A102" s="21" t="inlineStr">
        <is>
          <t>SA10</t>
        </is>
      </c>
      <c r="B102" s="22" t="inlineStr">
        <is>
          <t>As a Super Admin, I want to verify email works.</t>
        </is>
      </c>
      <c r="C102" s="22" t="inlineStr">
        <is>
          <t>Dashboard → Send test email.</t>
        </is>
      </c>
      <c r="D102" s="22" t="inlineStr">
        <is>
          <t>Result shown (success or the exact failure reason).</t>
        </is>
      </c>
      <c r="E102" s="23" t="n"/>
      <c r="F102" s="22" t="n"/>
      <c r="G102" s="23" t="n"/>
    </row>
    <row r="103" ht="42" customHeight="1">
      <c r="A103" s="21" t="inlineStr">
        <is>
          <t>SA11</t>
        </is>
      </c>
      <c r="B103" s="22" t="inlineStr">
        <is>
          <t>As a Super Admin, I want to update the recycling cans total.</t>
        </is>
      </c>
      <c r="C103" s="22" t="inlineStr">
        <is>
          <t>Use the cans/bin admin control.</t>
        </is>
      </c>
      <c r="D103" s="22" t="inlineStr">
        <is>
          <t>Total updates; the ribbon reflects it.</t>
        </is>
      </c>
      <c r="E103" s="23" t="n"/>
      <c r="F103" s="22" t="n"/>
      <c r="G103" s="23" t="n"/>
    </row>
    <row r="104" ht="42" customHeight="1">
      <c r="A104" s="21" t="inlineStr">
        <is>
          <t>SA12</t>
        </is>
      </c>
      <c r="B104" s="22" t="inlineStr">
        <is>
          <t>As a Super Admin, I want hours + records for any user.</t>
        </is>
      </c>
      <c r="C104" s="22" t="inlineStr">
        <is>
          <t>Add manual hours / open service record for any participant.</t>
        </is>
      </c>
      <c r="D104" s="22" t="inlineStr">
        <is>
          <t>Works for any org.</t>
        </is>
      </c>
      <c r="E104" s="23" t="n"/>
      <c r="F104" s="22" t="n"/>
      <c r="G104" s="23" t="n"/>
    </row>
    <row r="105" ht="20" customHeight="1">
      <c r="A105" s="19" t="inlineStr">
        <is>
          <t>Cross-cutting</t>
        </is>
      </c>
      <c r="B105" s="20" t="n"/>
      <c r="C105" s="20" t="n"/>
      <c r="D105" s="20" t="n"/>
      <c r="E105" s="20" t="n"/>
      <c r="F105" s="20" t="n"/>
      <c r="G105" s="20" t="n"/>
    </row>
    <row r="106" ht="42" customHeight="1">
      <c r="A106" s="21" t="inlineStr">
        <is>
          <t>X1</t>
        </is>
      </c>
      <c r="B106" s="22" t="inlineStr">
        <is>
          <t>As a phone user, I want a usable mobile layout.</t>
        </is>
      </c>
      <c r="C106" s="22" t="inlineStr">
        <is>
          <t>Open at phone width; use the menu drawer.</t>
        </is>
      </c>
      <c r="D106" s="22" t="inlineStr">
        <is>
          <t>Layout adapts; drawer opens/closes; no horizontal scroll.</t>
        </is>
      </c>
      <c r="E106" s="23" t="n"/>
      <c r="F106" s="22" t="n"/>
      <c r="G106" s="23" t="n"/>
    </row>
    <row r="107" ht="42" customHeight="1">
      <c r="A107" s="21" t="inlineStr">
        <is>
          <t>X2</t>
        </is>
      </c>
      <c r="B107" s="22" t="inlineStr">
        <is>
          <t>As a visitor, I want the recycling ribbon on the login page.</t>
        </is>
      </c>
      <c r="C107" s="22" t="inlineStr">
        <is>
          <t>Open login signed out.</t>
        </is>
      </c>
      <c r="D107" s="22" t="inlineStr">
        <is>
          <t>Green ribbon shows on login.</t>
        </is>
      </c>
      <c r="E107" s="23" t="n"/>
      <c r="F107" s="22" t="n"/>
      <c r="G107" s="23" t="n"/>
    </row>
  </sheetData>
  <mergeCells count="9">
    <mergeCell ref="A1:G1"/>
    <mergeCell ref="A3:G3"/>
    <mergeCell ref="A77:G77"/>
    <mergeCell ref="A105:G105"/>
    <mergeCell ref="A35:G35"/>
    <mergeCell ref="A92:G92"/>
    <mergeCell ref="A57:G57"/>
    <mergeCell ref="A51:G51"/>
    <mergeCell ref="A10:G10"/>
  </mergeCells>
  <conditionalFormatting sqref="E4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11:E34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conditionalFormatting sqref="E36:E50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</conditionalFormatting>
  <conditionalFormatting sqref="E52:E56"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</conditionalFormatting>
  <conditionalFormatting sqref="E58:E76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</conditionalFormatting>
  <conditionalFormatting sqref="E78:E91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</conditionalFormatting>
  <conditionalFormatting sqref="E93:E104"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</conditionalFormatting>
  <conditionalFormatting sqref="E106:E107"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</conditionalFormatting>
  <dataValidations count="1">
    <dataValidation sqref="E4:E9 E11:E34 E36:E50 E52:E56 E58:E76 E78:E91 E93:E104 E106:E107" showDropDown="0" showInputMessage="0" showErrorMessage="0" allowBlank="1" type="list">
      <formula1>"Pass,Fail,Blocked,Not tested,N/A"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2" customWidth="1" min="3" max="3"/>
    <col width="52" customWidth="1" min="4" max="4"/>
    <col width="13" customWidth="1" min="5" max="5"/>
    <col width="34" customWidth="1" min="6" max="6"/>
    <col width="15" customWidth="1" min="7" max="7"/>
  </cols>
  <sheetData>
    <row r="1" ht="28" customHeight="1">
      <c r="A1" s="17" t="inlineStr">
        <is>
          <t>Test cases — Desktop Firefox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8" t="inlineStr">
        <is>
          <t>ID</t>
        </is>
      </c>
      <c r="B2" s="18" t="inlineStr">
        <is>
          <t>User story</t>
        </is>
      </c>
      <c r="C2" s="18" t="inlineStr">
        <is>
          <t>Steps to perform</t>
        </is>
      </c>
      <c r="D2" s="18" t="inlineStr">
        <is>
          <t>Expected behavior (what you should see)</t>
        </is>
      </c>
      <c r="E2" s="18" t="inlineStr">
        <is>
          <t>Result</t>
        </is>
      </c>
      <c r="F2" s="18" t="inlineStr">
        <is>
          <t>Comments</t>
        </is>
      </c>
      <c r="G2" s="18" t="inlineStr">
        <is>
          <t>Tester</t>
        </is>
      </c>
    </row>
    <row r="3" ht="20" customHeight="1">
      <c r="A3" s="19" t="inlineStr">
        <is>
          <t>Account &amp; access (all roles)</t>
        </is>
      </c>
      <c r="B3" s="20" t="n"/>
      <c r="C3" s="20" t="n"/>
      <c r="D3" s="20" t="n"/>
      <c r="E3" s="20" t="n"/>
      <c r="F3" s="20" t="n"/>
      <c r="G3" s="20" t="n"/>
    </row>
    <row r="4" ht="42" customHeight="1">
      <c r="A4" s="21" t="inlineStr">
        <is>
          <t>AC1</t>
        </is>
      </c>
      <c r="B4" s="22" t="inlineStr">
        <is>
          <t>As any user, I want to log in with email and password.</t>
        </is>
      </c>
      <c r="C4" s="22" t="inlineStr">
        <is>
          <t>Enter valid email/password and Sign in.</t>
        </is>
      </c>
      <c r="D4" s="22" t="inlineStr">
        <is>
          <t>You're signed in and taken to your role's home.</t>
        </is>
      </c>
      <c r="E4" s="23" t="n"/>
      <c r="F4" s="22" t="n"/>
      <c r="G4" s="23" t="n"/>
    </row>
    <row r="5" ht="42" customHeight="1">
      <c r="A5" s="21" t="inlineStr">
        <is>
          <t>AC2</t>
        </is>
      </c>
      <c r="B5" s="22" t="inlineStr">
        <is>
          <t>As any user, I want to reveal my password while typing.</t>
        </is>
      </c>
      <c r="C5" s="22" t="inlineStr">
        <is>
          <t>Tap the eye icon in the password field.</t>
        </is>
      </c>
      <c r="D5" s="22" t="inlineStr">
        <is>
          <t>Password text toggles visible/hidden.</t>
        </is>
      </c>
      <c r="E5" s="23" t="n"/>
      <c r="F5" s="22" t="n"/>
      <c r="G5" s="23" t="n"/>
    </row>
    <row r="6" ht="42" customHeight="1">
      <c r="A6" s="21" t="inlineStr">
        <is>
          <t>AC3</t>
        </is>
      </c>
      <c r="B6" s="22" t="inlineStr">
        <is>
          <t>As any user, I want to reset a forgotten password by email.</t>
        </is>
      </c>
      <c r="C6" s="22" t="inlineStr">
        <is>
          <t>Forgot password → enter email → open email → follow link → set new password → sign in.</t>
        </is>
      </c>
      <c r="D6" s="22" t="inlineStr">
        <is>
          <t>Reset email arrives; link works; new password signs in; old one fails.</t>
        </is>
      </c>
      <c r="E6" s="23" t="n"/>
      <c r="F6" s="22" t="n"/>
      <c r="G6" s="23" t="n"/>
    </row>
    <row r="7" ht="42" customHeight="1">
      <c r="A7" s="21" t="inlineStr">
        <is>
          <t>AC4</t>
        </is>
      </c>
      <c r="B7" s="22" t="inlineStr">
        <is>
          <t>As any user, I want to sign out.</t>
        </is>
      </c>
      <c r="C7" s="22" t="inlineStr">
        <is>
          <t>Use Sign out.</t>
        </is>
      </c>
      <c r="D7" s="22" t="inlineStr">
        <is>
          <t>Logged out; returned to login/landing.</t>
        </is>
      </c>
      <c r="E7" s="23" t="n"/>
      <c r="F7" s="22" t="n"/>
      <c r="G7" s="23" t="n"/>
    </row>
    <row r="8" ht="42" customHeight="1">
      <c r="A8" s="21" t="inlineStr">
        <is>
          <t>AC5</t>
        </is>
      </c>
      <c r="B8" s="22" t="inlineStr">
        <is>
          <t>As any user, I want a clear error for bad credentials.</t>
        </is>
      </c>
      <c r="C8" s="22" t="inlineStr">
        <is>
          <t>Enter a wrong password.</t>
        </is>
      </c>
      <c r="D8" s="22" t="inlineStr">
        <is>
          <t>Clear 'login failed' message; stay on login.</t>
        </is>
      </c>
      <c r="E8" s="23" t="n"/>
      <c r="F8" s="22" t="n"/>
      <c r="G8" s="23" t="n"/>
    </row>
    <row r="9" ht="42" customHeight="1">
      <c r="A9" s="21" t="inlineStr">
        <is>
          <t>AC6</t>
        </is>
      </c>
      <c r="B9" s="22" t="inlineStr">
        <is>
          <t>As any user, my session persists and protected pages are guarded.</t>
        </is>
      </c>
      <c r="C9" s="22" t="inlineStr">
        <is>
          <t>Sign in, refresh; then sign out and open a protected URL directly.</t>
        </is>
      </c>
      <c r="D9" s="22" t="inlineStr">
        <is>
          <t>Refresh stays signed in; protected pages redirect to login when signed out.</t>
        </is>
      </c>
      <c r="E9" s="23" t="n"/>
      <c r="F9" s="22" t="n"/>
      <c r="G9" s="23" t="n"/>
    </row>
    <row r="10" ht="20" customHeight="1">
      <c r="A10" s="19" t="inlineStr">
        <is>
          <t>Participant (grades 6–12)</t>
        </is>
      </c>
      <c r="B10" s="20" t="n"/>
      <c r="C10" s="20" t="n"/>
      <c r="D10" s="20" t="n"/>
      <c r="E10" s="20" t="n"/>
      <c r="F10" s="20" t="n"/>
      <c r="G10" s="20" t="n"/>
    </row>
    <row r="11" ht="42" customHeight="1">
      <c r="A11" s="21" t="inlineStr">
        <is>
          <t>PT1</t>
        </is>
      </c>
      <c r="B11" s="22" t="inlineStr">
        <is>
          <t>As a student (6–12), I want to self-register with the form.</t>
        </is>
      </c>
      <c r="C11" s="22" t="inlineStr">
        <is>
          <t>Create account → student option; fill name, email, password, grade, school, parent email; submit.</t>
        </is>
      </c>
      <c r="D11" s="22" t="inlineStr">
        <is>
          <t>Account created; signed in on the participant dashboard.</t>
        </is>
      </c>
      <c r="E11" s="23" t="n"/>
      <c r="F11" s="22" t="n"/>
      <c r="G11" s="23" t="n"/>
    </row>
    <row r="12" ht="42" customHeight="1">
      <c r="A12" s="21" t="inlineStr">
        <is>
          <t>PT2</t>
        </is>
      </c>
      <c r="B12" s="22" t="inlineStr">
        <is>
          <t>As a student, I want to enter an organization code during sign-up.</t>
        </is>
      </c>
      <c r="C12" s="22" t="inlineStr">
        <is>
          <t>Enter a code in the Organization code field (optional) and submit.</t>
        </is>
      </c>
      <c r="D12" s="22" t="inlineStr">
        <is>
          <t>A valid code enrolls me in that org; a bad code is rejected; blank is allowed.</t>
        </is>
      </c>
      <c r="E12" s="23" t="n"/>
      <c r="F12" s="22" t="n"/>
      <c r="G12" s="23" t="n"/>
    </row>
    <row r="13" ht="42" customHeight="1">
      <c r="A13" s="21" t="inlineStr">
        <is>
          <t>PT3</t>
        </is>
      </c>
      <c r="B13" s="22" t="inlineStr">
        <is>
          <t>As a participant, I want the correct 7 left-menu tabs.</t>
        </is>
      </c>
      <c r="C13" s="22" t="inlineStr">
        <is>
          <t>Look at the left menu.</t>
        </is>
      </c>
      <c r="D13" s="22" t="inlineStr">
        <is>
          <t>Exactly: Dashboard, Sign Up, Submit My Hours, Leaderboard, My Reports, My Profile, Help.</t>
        </is>
      </c>
      <c r="E13" s="23" t="n"/>
      <c r="F13" s="22" t="n"/>
      <c r="G13" s="23" t="n"/>
    </row>
    <row r="14" ht="42" customHeight="1">
      <c r="A14" s="21" t="inlineStr">
        <is>
          <t>PT4</t>
        </is>
      </c>
      <c r="B14" s="22" t="inlineStr">
        <is>
          <t>As a participant, I want a dashboard of my hours and next medal.</t>
        </is>
      </c>
      <c r="C14" s="22" t="inlineStr">
        <is>
          <t>Open the dashboard.</t>
        </is>
      </c>
      <c r="D14" s="22" t="inlineStr">
        <is>
          <t>Approved-hours ring, next medal + hours to go, and quick actions.</t>
        </is>
      </c>
      <c r="E14" s="23" t="n"/>
      <c r="F14" s="22" t="n"/>
      <c r="G14" s="23" t="n"/>
    </row>
    <row r="15" ht="42" customHeight="1">
      <c r="A15" s="21" t="inlineStr">
        <is>
          <t>PT5</t>
        </is>
      </c>
      <c r="B15" s="22" t="inlineStr">
        <is>
          <t>As a participant, I want to find and sign up for an opportunity.</t>
        </is>
      </c>
      <c r="C15" s="22" t="inlineStr">
        <is>
          <t>Sign Up → Upcoming events → open one → Sign Up.</t>
        </is>
      </c>
      <c r="D15" s="22" t="inlineStr">
        <is>
          <t>Registered; confirmation; it moves to My sign-ups.</t>
        </is>
      </c>
      <c r="E15" s="23" t="n"/>
      <c r="F15" s="22" t="n"/>
      <c r="G15" s="23" t="n"/>
    </row>
    <row r="16" ht="42" customHeight="1">
      <c r="A16" s="21" t="inlineStr">
        <is>
          <t>PT6</t>
        </is>
      </c>
      <c r="B16" s="22" t="inlineStr">
        <is>
          <t>As a participant, I want to add a signed-up event to my calendar.</t>
        </is>
      </c>
      <c r="C16" s="22" t="inlineStr">
        <is>
          <t>My sign-ups → add to calendar.</t>
        </is>
      </c>
      <c r="D16" s="22" t="inlineStr">
        <is>
          <t>An .ics downloads with correct title/date/time/location.</t>
        </is>
      </c>
      <c r="E16" s="23" t="n"/>
      <c r="F16" s="22" t="n"/>
      <c r="G16" s="23" t="n"/>
    </row>
    <row r="17" ht="42" customHeight="1">
      <c r="A17" s="21" t="inlineStr">
        <is>
          <t>PT7</t>
        </is>
      </c>
      <c r="B17" s="22" t="inlineStr">
        <is>
          <t>As a participant, I want to see my past events.</t>
        </is>
      </c>
      <c r="C17" s="22" t="inlineStr">
        <is>
          <t>Sign Up → Past tab.</t>
        </is>
      </c>
      <c r="D17" s="22" t="inlineStr">
        <is>
          <t>Past events are listed.</t>
        </is>
      </c>
      <c r="E17" s="23" t="n"/>
      <c r="F17" s="22" t="n"/>
      <c r="G17" s="23" t="n"/>
    </row>
    <row r="18" ht="42" customHeight="1">
      <c r="A18" s="21" t="inlineStr">
        <is>
          <t>PT8</t>
        </is>
      </c>
      <c r="B18" s="22" t="inlineStr">
        <is>
          <t>As a participant, I want to search opportunities.</t>
        </is>
      </c>
      <c r="C18" s="22" t="inlineStr">
        <is>
          <t>Use the search box (name/description/location).</t>
        </is>
      </c>
      <c r="D18" s="22" t="inlineStr">
        <is>
          <t>List filters to matches.</t>
        </is>
      </c>
      <c r="E18" s="23" t="n"/>
      <c r="F18" s="22" t="n"/>
      <c r="G18" s="23" t="n"/>
    </row>
    <row r="19" ht="42" customHeight="1">
      <c r="A19" s="21" t="inlineStr">
        <is>
          <t>PT9</t>
        </is>
      </c>
      <c r="B19" s="22" t="inlineStr">
        <is>
          <t>As a participant, I want to withdraw from an event.</t>
        </is>
      </c>
      <c r="C19" s="22" t="inlineStr">
        <is>
          <t>My sign-ups → red Withdraw → confirm.</t>
        </is>
      </c>
      <c r="D19" s="22" t="inlineStr">
        <is>
          <t>Removed; can re-sign up later if space.</t>
        </is>
      </c>
      <c r="E19" s="23" t="n"/>
      <c r="F19" s="22" t="n"/>
      <c r="G19" s="23" t="n"/>
    </row>
    <row r="20" ht="42" customHeight="1">
      <c r="A20" s="21" t="inlineStr">
        <is>
          <t>PT10</t>
        </is>
      </c>
      <c r="B20" s="22" t="inlineStr">
        <is>
          <t>As a participant, I can only join grade-appropriate events.</t>
        </is>
      </c>
      <c r="C20" s="22" t="inlineStr">
        <is>
          <t>Try an event outside your grade range.</t>
        </is>
      </c>
      <c r="D20" s="22" t="inlineStr">
        <is>
          <t>Not available / blocked with a grade message.</t>
        </is>
      </c>
      <c r="E20" s="23" t="n"/>
      <c r="F20" s="22" t="n"/>
      <c r="G20" s="23" t="n"/>
    </row>
    <row r="21" ht="42" customHeight="1">
      <c r="A21" s="21" t="inlineStr">
        <is>
          <t>PT11</t>
        </is>
      </c>
      <c r="B21" s="22" t="inlineStr">
        <is>
          <t>As a participant, I only see my org's or open events.</t>
        </is>
      </c>
      <c r="C21" s="22" t="inlineStr">
        <is>
          <t>Browse opportunities.</t>
        </is>
      </c>
      <c r="D21" s="22" t="inlineStr">
        <is>
          <t>Open-to-all show; other orgs' private events don't appear.</t>
        </is>
      </c>
      <c r="E21" s="23" t="n"/>
      <c r="F21" s="22" t="n"/>
      <c r="G21" s="23" t="n"/>
    </row>
    <row r="22" ht="42" customHeight="1">
      <c r="A22" s="21" t="inlineStr">
        <is>
          <t>PT12</t>
        </is>
      </c>
      <c r="B22" s="22" t="inlineStr">
        <is>
          <t>As a participant, I want to check in on event day.</t>
        </is>
      </c>
      <c r="C22" s="22" t="inlineStr">
        <is>
          <t>On the day, within the window, use the Check-In panel.</t>
        </is>
      </c>
      <c r="D22" s="22" t="inlineStr">
        <is>
          <t>Check-in succeeds; before the window shows 'Not open yet'.</t>
        </is>
      </c>
      <c r="E22" s="23" t="n"/>
      <c r="F22" s="22" t="n"/>
      <c r="G22" s="23" t="n"/>
    </row>
    <row r="23" ht="42" customHeight="1">
      <c r="A23" s="21" t="inlineStr">
        <is>
          <t>PT13</t>
        </is>
      </c>
      <c r="B23" s="22" t="inlineStr">
        <is>
          <t>As a participant, I want to submit hours after an event.</t>
        </is>
      </c>
      <c r="C23" s="22" t="inlineStr">
        <is>
          <t>Submit My Hours → Post-event hours → enter hours → submit.</t>
        </is>
      </c>
      <c r="D23" s="22" t="inlineStr">
        <is>
          <t>Sent for approval; shows 'Waiting for review'.</t>
        </is>
      </c>
      <c r="E23" s="23" t="n"/>
      <c r="F23" s="22" t="n"/>
      <c r="G23" s="23" t="n"/>
    </row>
    <row r="24" ht="42" customHeight="1">
      <c r="A24" s="21" t="inlineStr">
        <is>
          <t>PT14</t>
        </is>
      </c>
      <c r="B24" s="22" t="inlineStr">
        <is>
          <t>As a participant who didn't sign up, I want to submit hours.</t>
        </is>
      </c>
      <c r="C24" s="22" t="inlineStr">
        <is>
          <t>Post-event hours → 'Attended without signing up?' → pick event → submit.</t>
        </is>
      </c>
      <c r="D24" s="22" t="inlineStr">
        <is>
          <t>Section always visible; eligible past events claimable, else empty-state note.</t>
        </is>
      </c>
      <c r="E24" s="23" t="n"/>
      <c r="F24" s="22" t="n"/>
      <c r="G24" s="23" t="n"/>
    </row>
    <row r="25" ht="42" customHeight="1">
      <c r="A25" s="21" t="inlineStr">
        <is>
          <t>PT15</t>
        </is>
      </c>
      <c r="B25" s="22" t="inlineStr">
        <is>
          <t>As a participant, I want to resubmit rejected hours.</t>
        </is>
      </c>
      <c r="C25" s="22" t="inlineStr">
        <is>
          <t>Open a rejected item → resubmit corrected hours.</t>
        </is>
      </c>
      <c r="D25" s="22" t="inlineStr">
        <is>
          <t>Returns to 'Waiting for review'.</t>
        </is>
      </c>
      <c r="E25" s="23" t="n"/>
      <c r="F25" s="22" t="n"/>
      <c r="G25" s="23" t="n"/>
    </row>
    <row r="26" ht="42" customHeight="1">
      <c r="A26" s="21" t="inlineStr">
        <is>
          <t>PT16</t>
        </is>
      </c>
      <c r="B26" s="22" t="inlineStr">
        <is>
          <t>As a participant, I want to log outside volunteering.</t>
        </is>
      </c>
      <c r="C26" s="22" t="inlineStr">
        <is>
          <t>Submit My Hours → Outside volunteering → org, EIN, date, hours, guidelines → submit.</t>
        </is>
      </c>
      <c r="D26" s="22" t="inlineStr">
        <is>
          <t>Recorded as pending external hours.</t>
        </is>
      </c>
      <c r="E26" s="23" t="n"/>
      <c r="F26" s="22" t="n"/>
      <c r="G26" s="23" t="n"/>
    </row>
    <row r="27" ht="42" customHeight="1">
      <c r="A27" s="21" t="inlineStr">
        <is>
          <t>PT17</t>
        </is>
      </c>
      <c r="B27" s="22" t="inlineStr">
        <is>
          <t>As a participant, proof is required over 5 external hours.</t>
        </is>
      </c>
      <c r="C27" s="22" t="inlineStr">
        <is>
          <t>Submit &gt;5h without proof, then with proof.</t>
        </is>
      </c>
      <c r="D27" s="22" t="inlineStr">
        <is>
          <t>Blocked without proof; submits with a photo/letter.</t>
        </is>
      </c>
      <c r="E27" s="23" t="n"/>
      <c r="F27" s="22" t="n"/>
      <c r="G27" s="23" t="n"/>
    </row>
    <row r="28" ht="42" customHeight="1">
      <c r="A28" s="21" t="inlineStr">
        <is>
          <t>PT18</t>
        </is>
      </c>
      <c r="B28" s="22" t="inlineStr">
        <is>
          <t>As a participant, I want an email when my hours are reviewed.</t>
        </is>
      </c>
      <c r="C28" s="22" t="inlineStr">
        <is>
          <t>Have a supervisor approve then reject one of your submissions.</t>
        </is>
      </c>
      <c r="D28" s="22" t="inlineStr">
        <is>
          <t>You (and your parent) receive approved / needs-attention emails.</t>
        </is>
      </c>
      <c r="E28" s="23" t="n"/>
      <c r="F28" s="22" t="n"/>
      <c r="G28" s="23" t="n"/>
    </row>
    <row r="29" ht="42" customHeight="1">
      <c r="A29" s="21" t="inlineStr">
        <is>
          <t>PT19</t>
        </is>
      </c>
      <c r="B29" s="22" t="inlineStr">
        <is>
          <t>As a participant, I want a reports view.</t>
        </is>
      </c>
      <c r="C29" s="22" t="inlineStr">
        <is>
          <t>Open My Reports.</t>
        </is>
      </c>
      <c r="D29" s="22" t="inlineStr">
        <is>
          <t>Total/in-program/external/waiting hours and medal progress bars.</t>
        </is>
      </c>
      <c r="E29" s="23" t="n"/>
      <c r="F29" s="22" t="n"/>
      <c r="G29" s="23" t="n"/>
    </row>
    <row r="30" ht="42" customHeight="1">
      <c r="A30" s="21" t="inlineStr">
        <is>
          <t>PT20</t>
        </is>
      </c>
      <c r="B30" s="22" t="inlineStr">
        <is>
          <t>As a participant, I want an official service record.</t>
        </is>
      </c>
      <c r="C30" s="22" t="inlineStr">
        <is>
          <t>My Reports → Verified service record.</t>
        </is>
      </c>
      <c r="D30" s="22" t="inlineStr">
        <is>
          <t>Itemized printable statement; Save-as-PDF works.</t>
        </is>
      </c>
      <c r="E30" s="23" t="n"/>
      <c r="F30" s="22" t="n"/>
      <c r="G30" s="23" t="n"/>
    </row>
    <row r="31" ht="42" customHeight="1">
      <c r="A31" s="21" t="inlineStr">
        <is>
          <t>PT21</t>
        </is>
      </c>
      <c r="B31" s="22" t="inlineStr">
        <is>
          <t>As a participant, I want leaderboard privacy.</t>
        </is>
      </c>
      <c r="C31" s="22" t="inlineStr">
        <is>
          <t>Set alias/hide in My Profile → view leaderboard.</t>
        </is>
      </c>
      <c r="D31" s="22" t="inlineStr">
        <is>
          <t>Shows alias or 'Anonymous' to others; you see yourself.</t>
        </is>
      </c>
      <c r="E31" s="23" t="n"/>
      <c r="F31" s="22" t="n"/>
      <c r="G31" s="23" t="n"/>
    </row>
    <row r="32" ht="42" customHeight="1">
      <c r="A32" s="21" t="inlineStr">
        <is>
          <t>PT22</t>
        </is>
      </c>
      <c r="B32" s="22" t="inlineStr">
        <is>
          <t>As a participant, I want to edit my profile.</t>
        </is>
      </c>
      <c r="C32" s="22" t="inlineStr">
        <is>
          <t>My Profile → change name/grade/school/affiliation → save.</t>
        </is>
      </c>
      <c r="D32" s="22" t="inlineStr">
        <is>
          <t>Saves; switching to a code-protected org needs a valid code.</t>
        </is>
      </c>
      <c r="E32" s="23" t="n"/>
      <c r="F32" s="22" t="n"/>
      <c r="G32" s="23" t="n"/>
    </row>
    <row r="33" ht="42" customHeight="1">
      <c r="A33" s="21" t="inlineStr">
        <is>
          <t>PT23</t>
        </is>
      </c>
      <c r="B33" s="22" t="inlineStr">
        <is>
          <t>As a participant, I want Help incl. join codes.</t>
        </is>
      </c>
      <c r="C33" s="22" t="inlineStr">
        <is>
          <t>Open Help; expand entries.</t>
        </is>
      </c>
      <c r="D33" s="22" t="inlineStr">
        <is>
          <t>Covers sign-up, hours, join codes, and 'email mcc@medinaacademy.org'.</t>
        </is>
      </c>
      <c r="E33" s="23" t="n"/>
      <c r="F33" s="22" t="n"/>
      <c r="G33" s="23" t="n"/>
    </row>
    <row r="34" ht="42" customHeight="1">
      <c r="A34" s="21" t="inlineStr">
        <is>
          <t>PT24</t>
        </is>
      </c>
      <c r="B34" s="22" t="inlineStr">
        <is>
          <t>As a participant, I want the recycling ribbon on every page.</t>
        </is>
      </c>
      <c r="C34" s="22" t="inlineStr">
        <is>
          <t>Navigate around signed in.</t>
        </is>
      </c>
      <c r="D34" s="22" t="inlineStr">
        <is>
          <t>Green ribbon with cans + 100,000 countdown on every page.</t>
        </is>
      </c>
      <c r="E34" s="23" t="n"/>
      <c r="F34" s="22" t="n"/>
      <c r="G34" s="23" t="n"/>
    </row>
    <row r="35" ht="20" customHeight="1">
      <c r="A35" s="19" t="inlineStr">
        <is>
          <t>Parent — elementary (grades 2–5 child)</t>
        </is>
      </c>
      <c r="B35" s="20" t="n"/>
      <c r="C35" s="20" t="n"/>
      <c r="D35" s="20" t="n"/>
      <c r="E35" s="20" t="n"/>
      <c r="F35" s="20" t="n"/>
      <c r="G35" s="20" t="n"/>
    </row>
    <row r="36" ht="42" customHeight="1">
      <c r="A36" s="21" t="inlineStr">
        <is>
          <t>PE1</t>
        </is>
      </c>
      <c r="B36" s="22" t="inlineStr">
        <is>
          <t>As a parent, I want to register to manage my grade 2–5 child.</t>
        </is>
      </c>
      <c r="C36" s="22" t="inlineStr">
        <is>
          <t>Create account → parent of a 2–5 child.</t>
        </is>
      </c>
      <c r="D36" s="22" t="inlineStr">
        <is>
          <t>Parent account created.</t>
        </is>
      </c>
      <c r="E36" s="23" t="n"/>
      <c r="F36" s="22" t="n"/>
      <c r="G36" s="23" t="n"/>
    </row>
    <row r="37" ht="42" customHeight="1">
      <c r="A37" s="21" t="inlineStr">
        <is>
          <t>PE2</t>
        </is>
      </c>
      <c r="B37" s="22" t="inlineStr">
        <is>
          <t>As an elementary parent, I want the right menu tabs.</t>
        </is>
      </c>
      <c r="C37" s="22" t="inlineStr">
        <is>
          <t>Look at the left menu.</t>
        </is>
      </c>
      <c r="D37" s="22" t="inlineStr">
        <is>
          <t>Dashboard and Find Opportunities (Help in footer).</t>
        </is>
      </c>
      <c r="E37" s="23" t="n"/>
      <c r="F37" s="22" t="n"/>
      <c r="G37" s="23" t="n"/>
    </row>
    <row r="38" ht="42" customHeight="1">
      <c r="A38" s="21" t="inlineStr">
        <is>
          <t>PE3</t>
        </is>
      </c>
      <c r="B38" s="22" t="inlineStr">
        <is>
          <t>As a parent, I want to add a managed child (2–5).</t>
        </is>
      </c>
      <c r="C38" s="22" t="inlineStr">
        <is>
          <t>Add child with name and grade (join code if required).</t>
        </is>
      </c>
      <c r="D38" s="22" t="inlineStr">
        <is>
          <t>Child added; no separate login.</t>
        </is>
      </c>
      <c r="E38" s="23" t="n"/>
      <c r="F38" s="22" t="n"/>
      <c r="G38" s="23" t="n"/>
    </row>
    <row r="39" ht="42" customHeight="1">
      <c r="A39" s="21" t="inlineStr">
        <is>
          <t>PE4</t>
        </is>
      </c>
      <c r="B39" s="22" t="inlineStr">
        <is>
          <t>As a parent with several kids, I want to switch child.</t>
        </is>
      </c>
      <c r="C39" s="22" t="inlineStr">
        <is>
          <t>Use the child picker.</t>
        </is>
      </c>
      <c r="D39" s="22" t="inlineStr">
        <is>
          <t>Selected child's context is used.</t>
        </is>
      </c>
      <c r="E39" s="23" t="n"/>
      <c r="F39" s="22" t="n"/>
      <c r="G39" s="23" t="n"/>
    </row>
    <row r="40" ht="42" customHeight="1">
      <c r="A40" s="21" t="inlineStr">
        <is>
          <t>PE5</t>
        </is>
      </c>
      <c r="B40" s="22" t="inlineStr">
        <is>
          <t>As a parent, I want to sign my child up.</t>
        </is>
      </c>
      <c r="C40" s="22" t="inlineStr">
        <is>
          <t>Find Opportunities → pick child → open event → sign up.</t>
        </is>
      </c>
      <c r="D40" s="22" t="inlineStr">
        <is>
          <t>Child registered; appears on dashboard with calendar.</t>
        </is>
      </c>
      <c r="E40" s="23" t="n"/>
      <c r="F40" s="22" t="n"/>
      <c r="G40" s="23" t="n"/>
    </row>
    <row r="41" ht="42" customHeight="1">
      <c r="A41" s="21" t="inlineStr">
        <is>
          <t>PE6</t>
        </is>
      </c>
      <c r="B41" s="22" t="inlineStr">
        <is>
          <t>As a parent, child sign-up respects grade/org limits.</t>
        </is>
      </c>
      <c r="C41" s="22" t="inlineStr">
        <is>
          <t>Try an ineligible event.</t>
        </is>
      </c>
      <c r="D41" s="22" t="inlineStr">
        <is>
          <t>Hidden or blocked with a message.</t>
        </is>
      </c>
      <c r="E41" s="23" t="n"/>
      <c r="F41" s="22" t="n"/>
      <c r="G41" s="23" t="n"/>
    </row>
    <row r="42" ht="42" customHeight="1">
      <c r="A42" s="21" t="inlineStr">
        <is>
          <t>PE7</t>
        </is>
      </c>
      <c r="B42" s="22" t="inlineStr">
        <is>
          <t>As a parent, I want to see my child's schedule.</t>
        </is>
      </c>
      <c r="C42" s="22" t="inlineStr">
        <is>
          <t>Open the dashboard.</t>
        </is>
      </c>
      <c r="D42" s="22" t="inlineStr">
        <is>
          <t>Child's upcoming events with add-to-calendar; new sign-ups flagged.</t>
        </is>
      </c>
      <c r="E42" s="23" t="n"/>
      <c r="F42" s="22" t="n"/>
      <c r="G42" s="23" t="n"/>
    </row>
    <row r="43" ht="42" customHeight="1">
      <c r="A43" s="21" t="inlineStr">
        <is>
          <t>PE8</t>
        </is>
      </c>
      <c r="B43" s="22" t="inlineStr">
        <is>
          <t>As a parent, I want to invite a co-guardian.</t>
        </is>
      </c>
      <c r="C43" s="22" t="inlineStr">
        <is>
          <t>Invite a co-guardian by email.</t>
        </is>
      </c>
      <c r="D43" s="22" t="inlineStr">
        <is>
          <t>Invite email sent; on registering with that email they share access.</t>
        </is>
      </c>
      <c r="E43" s="23" t="n"/>
      <c r="F43" s="22" t="n"/>
      <c r="G43" s="23" t="n"/>
    </row>
    <row r="44" ht="42" customHeight="1">
      <c r="A44" s="21" t="inlineStr">
        <is>
          <t>PE9</t>
        </is>
      </c>
      <c r="B44" s="22" t="inlineStr">
        <is>
          <t>As a parent, I want notice when my child signs up.</t>
        </is>
      </c>
      <c r="C44" s="22" t="inlineStr">
        <is>
          <t>Sign a child up (or have the other guardian do it).</t>
        </is>
      </c>
      <c r="D44" s="22" t="inlineStr">
        <is>
          <t>A notification/confirmation is produced.</t>
        </is>
      </c>
      <c r="E44" s="23" t="n"/>
      <c r="F44" s="22" t="n"/>
      <c r="G44" s="23" t="n"/>
    </row>
    <row r="45" ht="42" customHeight="1">
      <c r="A45" s="21" t="inlineStr">
        <is>
          <t>PE10</t>
        </is>
      </c>
      <c r="B45" s="22" t="inlineStr">
        <is>
          <t>As a parent, I want to submit my child's hours after an event (child has no login).</t>
        </is>
      </c>
      <c r="C45" s="22" t="inlineStr">
        <is>
          <t>Dashboard → the child's 'Submit hours (past events)' → enter hours → Submit.</t>
        </is>
      </c>
      <c r="D45" s="22" t="inlineStr">
        <is>
          <t>Hours go to the supervisor for approval; status shows 'Waiting for review'.</t>
        </is>
      </c>
      <c r="E45" s="23" t="n"/>
      <c r="F45" s="22" t="n"/>
      <c r="G45" s="23" t="n"/>
    </row>
    <row r="46" ht="42" customHeight="1">
      <c r="A46" s="21" t="inlineStr">
        <is>
          <t>PE11</t>
        </is>
      </c>
      <c r="B46" s="22" t="inlineStr">
        <is>
          <t>As a parent, I want to resubmit my child's rejected hours.</t>
        </is>
      </c>
      <c r="C46" s="22" t="inlineStr">
        <is>
          <t>On a rejected past event, enter corrected hours → Resubmit.</t>
        </is>
      </c>
      <c r="D46" s="22" t="inlineStr">
        <is>
          <t>Returns to 'Waiting for review'.</t>
        </is>
      </c>
      <c r="E46" s="23" t="n"/>
      <c r="F46" s="22" t="n"/>
      <c r="G46" s="23" t="n"/>
    </row>
    <row r="47" ht="42" customHeight="1">
      <c r="A47" s="21" t="inlineStr">
        <is>
          <t>PE12</t>
        </is>
      </c>
      <c r="B47" s="22" t="inlineStr">
        <is>
          <t>As a parent, I want to see each past event's hours status for my child.</t>
        </is>
      </c>
      <c r="C47" s="22" t="inlineStr">
        <is>
          <t>Look at the child's past events list.</t>
        </is>
      </c>
      <c r="D47" s="22" t="inlineStr">
        <is>
          <t>Each shows Approved / Waiting / Rejected as appropriate.</t>
        </is>
      </c>
      <c r="E47" s="23" t="n"/>
      <c r="F47" s="22" t="n"/>
      <c r="G47" s="23" t="n"/>
    </row>
    <row r="48" ht="42" customHeight="1">
      <c r="A48" s="21" t="inlineStr">
        <is>
          <t>PE13</t>
        </is>
      </c>
      <c r="B48" s="22" t="inlineStr">
        <is>
          <t>As a parent, all core participant actions are available to me for my child.</t>
        </is>
      </c>
      <c r="C48" s="22" t="inlineStr">
        <is>
          <t>Confirm: browse, sign up, withdraw, add-to-calendar, submit hours, view progress toward medals.</t>
        </is>
      </c>
      <c r="D48" s="22" t="inlineStr">
        <is>
          <t>All participant-style actions work on the child's behalf (the child never logs in).</t>
        </is>
      </c>
      <c r="E48" s="23" t="n"/>
      <c r="F48" s="22" t="n"/>
      <c r="G48" s="23" t="n"/>
    </row>
    <row r="49" ht="42" customHeight="1">
      <c r="A49" s="21" t="inlineStr">
        <is>
          <t>PE14</t>
        </is>
      </c>
      <c r="B49" s="22" t="inlineStr">
        <is>
          <t>As a parent, I want to log my child's outside/nonprofit volunteering.</t>
        </is>
      </c>
      <c r="C49" s="22" t="inlineStr">
        <is>
          <t>Child card → 'Outside hours' → fill activity, org, date, hours, supervisor → Submit.</t>
        </is>
      </c>
      <c r="D49" s="22" t="inlineStr">
        <is>
          <t>External hours submitted for the child and sent for supervisor approval (proof required over 5h).</t>
        </is>
      </c>
      <c r="E49" s="23" t="n"/>
      <c r="F49" s="22" t="n"/>
      <c r="G49" s="23" t="n"/>
    </row>
    <row r="50" ht="42" customHeight="1">
      <c r="A50" s="21" t="inlineStr">
        <is>
          <t>PE15</t>
        </is>
      </c>
      <c r="B50" s="22" t="inlineStr">
        <is>
          <t>As a parent, I want my child's verified service record.</t>
        </is>
      </c>
      <c r="C50" s="22" t="inlineStr">
        <is>
          <t>Child card → 'Service record'.</t>
        </is>
      </c>
      <c r="D50" s="22" t="inlineStr">
        <is>
          <t>The child's itemized record opens; Print / Save-as-PDF works.</t>
        </is>
      </c>
      <c r="E50" s="23" t="n"/>
      <c r="F50" s="22" t="n"/>
      <c r="G50" s="23" t="n"/>
    </row>
    <row r="51" ht="20" customHeight="1">
      <c r="A51" s="19" t="inlineStr">
        <is>
          <t>Parent — viewer (grades 6–12 student)</t>
        </is>
      </c>
      <c r="B51" s="20" t="n"/>
      <c r="C51" s="20" t="n"/>
      <c r="D51" s="20" t="n"/>
      <c r="E51" s="20" t="n"/>
      <c r="F51" s="20" t="n"/>
      <c r="G51" s="20" t="n"/>
    </row>
    <row r="52" ht="42" customHeight="1">
      <c r="A52" s="21" t="inlineStr">
        <is>
          <t>PV1</t>
        </is>
      </c>
      <c r="B52" s="22" t="inlineStr">
        <is>
          <t>As a parent of a 6–12 student, I want to register for view-only access.</t>
        </is>
      </c>
      <c r="C52" s="22" t="inlineStr">
        <is>
          <t>Create account → parent of a 6–12 student.</t>
        </is>
      </c>
      <c r="D52" s="22" t="inlineStr">
        <is>
          <t>Account created; no invite required to register.</t>
        </is>
      </c>
      <c r="E52" s="23" t="n"/>
      <c r="F52" s="22" t="n"/>
      <c r="G52" s="23" t="n"/>
    </row>
    <row r="53" ht="42" customHeight="1">
      <c r="A53" s="21" t="inlineStr">
        <is>
          <t>PV2</t>
        </is>
      </c>
      <c r="B53" s="22" t="inlineStr">
        <is>
          <t>As a viewer parent, my student links automatically by email.</t>
        </is>
      </c>
      <c r="C53" s="22" t="inlineStr">
        <is>
          <t>Have a student enter this exact email as their parent email (before or after you register).</t>
        </is>
      </c>
      <c r="D53" s="22" t="inlineStr">
        <is>
          <t>The student appears on your dashboard automatically; empty until then.</t>
        </is>
      </c>
      <c r="E53" s="23" t="n"/>
      <c r="F53" s="22" t="n"/>
      <c r="G53" s="23" t="n"/>
    </row>
    <row r="54" ht="42" customHeight="1">
      <c r="A54" s="21" t="inlineStr">
        <is>
          <t>PV3</t>
        </is>
      </c>
      <c r="B54" s="22" t="inlineStr">
        <is>
          <t>As a viewer parent, I want to see my student's schedule/progress.</t>
        </is>
      </c>
      <c r="C54" s="22" t="inlineStr">
        <is>
          <t>Open the dashboard.</t>
        </is>
      </c>
      <c r="D54" s="22" t="inlineStr">
        <is>
          <t>View-only schedule and progress.</t>
        </is>
      </c>
      <c r="E54" s="23" t="n"/>
      <c r="F54" s="22" t="n"/>
      <c r="G54" s="23" t="n"/>
    </row>
    <row r="55" ht="42" customHeight="1">
      <c r="A55" s="21" t="inlineStr">
        <is>
          <t>PV4</t>
        </is>
      </c>
      <c r="B55" s="22" t="inlineStr">
        <is>
          <t>As a viewer parent, I do NOT sign the student up.</t>
        </is>
      </c>
      <c r="C55" s="22" t="inlineStr">
        <is>
          <t>Look for a sign-up action.</t>
        </is>
      </c>
      <c r="D55" s="22" t="inlineStr">
        <is>
          <t>No sign-up on the student's behalf — the student self-serves.</t>
        </is>
      </c>
      <c r="E55" s="23" t="n"/>
      <c r="F55" s="22" t="n"/>
      <c r="G55" s="23" t="n"/>
    </row>
    <row r="56" ht="42" customHeight="1">
      <c r="A56" s="21" t="inlineStr">
        <is>
          <t>PV5</t>
        </is>
      </c>
      <c r="B56" s="22" t="inlineStr">
        <is>
          <t>As a viewer parent, I want to invite a co-guardian.</t>
        </is>
      </c>
      <c r="C56" s="22" t="inlineStr">
        <is>
          <t>Invite a co-guardian by email.</t>
        </is>
      </c>
      <c r="D56" s="22" t="inlineStr">
        <is>
          <t>Invite email sent; shared access on registration.</t>
        </is>
      </c>
      <c r="E56" s="23" t="n"/>
      <c r="F56" s="22" t="n"/>
      <c r="G56" s="23" t="n"/>
    </row>
    <row r="57" ht="20" customHeight="1">
      <c r="A57" s="19" t="inlineStr">
        <is>
          <t>Supervisor (created by an Admin)</t>
        </is>
      </c>
      <c r="B57" s="20" t="n"/>
      <c r="C57" s="20" t="n"/>
      <c r="D57" s="20" t="n"/>
      <c r="E57" s="20" t="n"/>
      <c r="F57" s="20" t="n"/>
      <c r="G57" s="20" t="n"/>
    </row>
    <row r="58" ht="42" customHeight="1">
      <c r="A58" s="21" t="inlineStr">
        <is>
          <t>SV1</t>
        </is>
      </c>
      <c r="B58" s="22" t="inlineStr">
        <is>
          <t>As the program, a supervisor cannot self-register.</t>
        </is>
      </c>
      <c r="C58" s="22" t="inlineStr">
        <is>
          <t>Review the sign-up options.</t>
        </is>
      </c>
      <c r="D58" s="22" t="inlineStr">
        <is>
          <t>No supervisor option exists on registration.</t>
        </is>
      </c>
      <c r="E58" s="23" t="n"/>
      <c r="F58" s="22" t="n"/>
      <c r="G58" s="23" t="n"/>
    </row>
    <row r="59" ht="42" customHeight="1">
      <c r="A59" s="21" t="inlineStr">
        <is>
          <t>SV2</t>
        </is>
      </c>
      <c r="B59" s="22" t="inlineStr">
        <is>
          <t>As a new supervisor, I get an invite to set my password.</t>
        </is>
      </c>
      <c r="C59" s="22" t="inlineStr">
        <is>
          <t>Have an Admin create your account; open the invite email; set password; sign in.</t>
        </is>
      </c>
      <c r="D59" s="22" t="inlineStr">
        <is>
          <t>Invite email arrives with a working set-password link; you can sign in.</t>
        </is>
      </c>
      <c r="E59" s="23" t="n"/>
      <c r="F59" s="22" t="n"/>
      <c r="G59" s="23" t="n"/>
    </row>
    <row r="60" ht="42" customHeight="1">
      <c r="A60" s="21" t="inlineStr">
        <is>
          <t>SV3</t>
        </is>
      </c>
      <c r="B60" s="22" t="inlineStr">
        <is>
          <t>As a supervisor, I want the correct 7 left-menu tabs.</t>
        </is>
      </c>
      <c r="C60" s="22" t="inlineStr">
        <is>
          <t>Look at the left menu.</t>
        </is>
      </c>
      <c r="D60" s="22" t="inlineStr">
        <is>
          <t>Dashboard, Pending Reviews, Reviewed History, My Events, All Opportunities, My Hours, Help.</t>
        </is>
      </c>
      <c r="E60" s="23" t="n"/>
      <c r="F60" s="22" t="n"/>
      <c r="G60" s="23" t="n"/>
    </row>
    <row r="61" ht="42" customHeight="1">
      <c r="A61" s="21" t="inlineStr">
        <is>
          <t>SV4</t>
        </is>
      </c>
      <c r="B61" s="22" t="inlineStr">
        <is>
          <t>As a supervisor, I want a dashboard.</t>
        </is>
      </c>
      <c r="C61" s="22" t="inlineStr">
        <is>
          <t>Open the dashboard.</t>
        </is>
      </c>
      <c r="D61" s="22" t="inlineStr">
        <is>
          <t>Review queue, approved/rejected counts, registrations, hours, upcoming events + Roster links.</t>
        </is>
      </c>
      <c r="E61" s="23" t="n"/>
      <c r="F61" s="22" t="n"/>
      <c r="G61" s="23" t="n"/>
    </row>
    <row r="62" ht="42" customHeight="1">
      <c r="A62" s="21" t="inlineStr">
        <is>
          <t>SV5</t>
        </is>
      </c>
      <c r="B62" s="22" t="inlineStr">
        <is>
          <t>As a supervisor, I want to approve hours.</t>
        </is>
      </c>
      <c r="C62" s="22" t="inlineStr">
        <is>
          <t>Pending Reviews → open → Approve.</t>
        </is>
      </c>
      <c r="D62" s="22" t="inlineStr">
        <is>
          <t>Approved; moves to Reviewed History; participant total updates; email sent.</t>
        </is>
      </c>
      <c r="E62" s="23" t="n"/>
      <c r="F62" s="22" t="n"/>
      <c r="G62" s="23" t="n"/>
    </row>
    <row r="63" ht="42" customHeight="1">
      <c r="A63" s="21" t="inlineStr">
        <is>
          <t>SV6</t>
        </is>
      </c>
      <c r="B63" s="22" t="inlineStr">
        <is>
          <t>As a supervisor, I want to reject hours with a reason.</t>
        </is>
      </c>
      <c r="C63" s="22" t="inlineStr">
        <is>
          <t>Reject without a reason, then with one.</t>
        </is>
      </c>
      <c r="D63" s="22" t="inlineStr">
        <is>
          <t>Blocked until a reason is given; then rejected and the participant notified.</t>
        </is>
      </c>
      <c r="E63" s="23" t="n"/>
      <c r="F63" s="22" t="n"/>
      <c r="G63" s="23" t="n"/>
    </row>
    <row r="64" ht="42" customHeight="1">
      <c r="A64" s="21" t="inlineStr">
        <is>
          <t>SV7</t>
        </is>
      </c>
      <c r="B64" s="22" t="inlineStr">
        <is>
          <t>As a supervisor, I want to review external submissions.</t>
        </is>
      </c>
      <c r="C64" s="22" t="inlineStr">
        <is>
          <t>Pending Reviews → external tab → approve/reject.</t>
        </is>
      </c>
      <c r="D64" s="22" t="inlineStr">
        <is>
          <t>External items reviewable, including any proof.</t>
        </is>
      </c>
      <c r="E64" s="23" t="n"/>
      <c r="F64" s="22" t="n"/>
      <c r="G64" s="23" t="n"/>
    </row>
    <row r="65" ht="42" customHeight="1">
      <c r="A65" s="21" t="inlineStr">
        <is>
          <t>SV8</t>
        </is>
      </c>
      <c r="B65" s="22" t="inlineStr">
        <is>
          <t>As a supervisor, I want to create an event.</t>
        </is>
      </c>
      <c r="C65" s="22" t="inlineStr">
        <is>
          <t>New Event → title, description, slot, address, date, times, capacity, grade limits → save.</t>
        </is>
      </c>
      <c r="D65" s="22" t="inlineStr">
        <is>
          <t>Credit auto-calculated from times; event created in My Events.</t>
        </is>
      </c>
      <c r="E65" s="23" t="n"/>
      <c r="F65" s="22" t="n"/>
      <c r="G65" s="23" t="n"/>
    </row>
    <row r="66" ht="42" customHeight="1">
      <c r="A66" s="21" t="inlineStr">
        <is>
          <t>SV9</t>
        </is>
      </c>
      <c r="B66" s="22" t="inlineStr">
        <is>
          <t>As a supervisor, I want to edit an event.</t>
        </is>
      </c>
      <c r="C66" s="22" t="inlineStr">
        <is>
          <t>My Events → edit → save.</t>
        </is>
      </c>
      <c r="D66" s="22" t="inlineStr">
        <is>
          <t>Changes persist and show to participants.</t>
        </is>
      </c>
      <c r="E66" s="23" t="n"/>
      <c r="F66" s="22" t="n"/>
      <c r="G66" s="23" t="n"/>
    </row>
    <row r="67" ht="42" customHeight="1">
      <c r="A67" s="21" t="inlineStr">
        <is>
          <t>SV10</t>
        </is>
      </c>
      <c r="B67" s="22" t="inlineStr">
        <is>
          <t>As a supervisor, I want to delete an event with no approved hours.</t>
        </is>
      </c>
      <c r="C67" s="22" t="inlineStr">
        <is>
          <t>Delete such an event → confirm.</t>
        </is>
      </c>
      <c r="D67" s="22" t="inlineStr">
        <is>
          <t>Event deleted.</t>
        </is>
      </c>
      <c r="E67" s="23" t="n"/>
      <c r="F67" s="22" t="n"/>
      <c r="G67" s="23" t="n"/>
    </row>
    <row r="68" ht="42" customHeight="1">
      <c r="A68" s="21" t="inlineStr">
        <is>
          <t>SV11</t>
        </is>
      </c>
      <c r="B68" s="22" t="inlineStr">
        <is>
          <t>As a supervisor, deleting an event with approved hours is blocked.</t>
        </is>
      </c>
      <c r="C68" s="22" t="inlineStr">
        <is>
          <t>Try to delete an event that has approved hours.</t>
        </is>
      </c>
      <c r="D68" s="22" t="inlineStr">
        <is>
          <t>Blocked with a message that approved hours must be preserved.</t>
        </is>
      </c>
      <c r="E68" s="23" t="n"/>
      <c r="F68" s="22" t="n"/>
      <c r="G68" s="23" t="n"/>
    </row>
    <row r="69" ht="42" customHeight="1">
      <c r="A69" s="21" t="inlineStr">
        <is>
          <t>SV12</t>
        </is>
      </c>
      <c r="B69" s="22" t="inlineStr">
        <is>
          <t>As a supervisor, I want to see who signed up.</t>
        </is>
      </c>
      <c r="C69" s="22" t="inlineStr">
        <is>
          <t>Open the event Roster.</t>
        </is>
      </c>
      <c r="D69" s="22" t="inlineStr">
        <is>
          <t>Registrants listed with grade and status.</t>
        </is>
      </c>
      <c r="E69" s="23" t="n"/>
      <c r="F69" s="22" t="n"/>
      <c r="G69" s="23" t="n"/>
    </row>
    <row r="70" ht="42" customHeight="1">
      <c r="A70" s="21" t="inlineStr">
        <is>
          <t>SV13</t>
        </is>
      </c>
      <c r="B70" s="22" t="inlineStr">
        <is>
          <t>As a supervisor, I want to check people in / mark no-show.</t>
        </is>
      </c>
      <c r="C70" s="22" t="inlineStr">
        <is>
          <t>On the roster, Check in and Mark no-show.</t>
        </is>
      </c>
      <c r="D70" s="22" t="inlineStr">
        <is>
          <t>Status updates and persists.</t>
        </is>
      </c>
      <c r="E70" s="23" t="n"/>
      <c r="F70" s="22" t="n"/>
      <c r="G70" s="23" t="n"/>
    </row>
    <row r="71" ht="42" customHeight="1">
      <c r="A71" s="21" t="inlineStr">
        <is>
          <t>SV14</t>
        </is>
      </c>
      <c r="B71" s="22" t="inlineStr">
        <is>
          <t>As a supervisor, I want to message everyone signed up.</t>
        </is>
      </c>
      <c r="C71" s="22" t="inlineStr">
        <is>
          <t>Roster → Message attendees → subject+message → send (include guardians on).</t>
        </is>
      </c>
      <c r="D71" s="22" t="inlineStr">
        <is>
          <t>Each registrant (and guardians) emailed individually; recipient count shown.</t>
        </is>
      </c>
      <c r="E71" s="23" t="n"/>
      <c r="F71" s="22" t="n"/>
      <c r="G71" s="23" t="n"/>
    </row>
    <row r="72" ht="42" customHeight="1">
      <c r="A72" s="21" t="inlineStr">
        <is>
          <t>SV15</t>
        </is>
      </c>
      <c r="B72" s="22" t="inlineStr">
        <is>
          <t>As a supervisor, I want a history of what I reviewed.</t>
        </is>
      </c>
      <c r="C72" s="22" t="inlineStr">
        <is>
          <t>Open Reviewed History.</t>
        </is>
      </c>
      <c r="D72" s="22" t="inlineStr">
        <is>
          <t>Every approved/rejected item with dates and volunteers.</t>
        </is>
      </c>
      <c r="E72" s="23" t="n"/>
      <c r="F72" s="22" t="n"/>
      <c r="G72" s="23" t="n"/>
    </row>
    <row r="73" ht="42" customHeight="1">
      <c r="A73" s="21" t="inlineStr">
        <is>
          <t>SV16</t>
        </is>
      </c>
      <c r="B73" s="22" t="inlineStr">
        <is>
          <t>As a supervisor, I want to browse all opportunities view-only.</t>
        </is>
      </c>
      <c r="C73" s="22" t="inlineStr">
        <is>
          <t>All Opportunities → search / upcoming-past.</t>
        </is>
      </c>
      <c r="D73" s="22" t="inlineStr">
        <is>
          <t>Every event listed read-only; can't edit others' events.</t>
        </is>
      </c>
      <c r="E73" s="23" t="n"/>
      <c r="F73" s="22" t="n"/>
      <c r="G73" s="23" t="n"/>
    </row>
    <row r="74" ht="42" customHeight="1">
      <c r="A74" s="21" t="inlineStr">
        <is>
          <t>SV17</t>
        </is>
      </c>
      <c r="B74" s="22" t="inlineStr">
        <is>
          <t>As a supervisor, I want to log my own adult hours.</t>
        </is>
      </c>
      <c r="C74" s="22" t="inlineStr">
        <is>
          <t>My Hours → log an activity, date, hours → save.</t>
        </is>
      </c>
      <c r="D74" s="22" t="inlineStr">
        <is>
          <t>Recorded instantly with a running total; clearly NOT part of the student competition.</t>
        </is>
      </c>
      <c r="E74" s="23" t="n"/>
      <c r="F74" s="22" t="n"/>
      <c r="G74" s="23" t="n"/>
    </row>
    <row r="75" ht="42" customHeight="1">
      <c r="A75" s="21" t="inlineStr">
        <is>
          <t>SV18</t>
        </is>
      </c>
      <c r="B75" s="22" t="inlineStr">
        <is>
          <t>As a supervisor, I want to delete an adult-hours entry.</t>
        </is>
      </c>
      <c r="C75" s="22" t="inlineStr">
        <is>
          <t>My Hours → delete an entry → confirm.</t>
        </is>
      </c>
      <c r="D75" s="22" t="inlineStr">
        <is>
          <t>Removed; total updates.</t>
        </is>
      </c>
      <c r="E75" s="23" t="n"/>
      <c r="F75" s="22" t="n"/>
      <c r="G75" s="23" t="n"/>
    </row>
    <row r="76" ht="42" customHeight="1">
      <c r="A76" s="21" t="inlineStr">
        <is>
          <t>SV19</t>
        </is>
      </c>
      <c r="B76" s="22" t="inlineStr">
        <is>
          <t>As a supervisor, I must NOT access user or org management.</t>
        </is>
      </c>
      <c r="C76" s="22" t="inlineStr">
        <is>
          <t>Look for Users / Organizations in the menu.</t>
        </is>
      </c>
      <c r="D76" s="22" t="inlineStr">
        <is>
          <t>Those tabs are absent; direct URLs are blocked.</t>
        </is>
      </c>
      <c r="E76" s="23" t="n"/>
      <c r="F76" s="22" t="n"/>
      <c r="G76" s="23" t="n"/>
    </row>
    <row r="77" ht="20" customHeight="1">
      <c r="A77" s="19" t="inlineStr">
        <is>
          <t>Admin (org-scoped)</t>
        </is>
      </c>
      <c r="B77" s="20" t="n"/>
      <c r="C77" s="20" t="n"/>
      <c r="D77" s="20" t="n"/>
      <c r="E77" s="20" t="n"/>
      <c r="F77" s="20" t="n"/>
      <c r="G77" s="20" t="n"/>
    </row>
    <row r="78" ht="42" customHeight="1">
      <c r="A78" s="21" t="inlineStr">
        <is>
          <t>AD1</t>
        </is>
      </c>
      <c r="B78" s="22" t="inlineStr">
        <is>
          <t>As an Admin, I want the correct menu tabs.</t>
        </is>
      </c>
      <c r="C78" s="22" t="inlineStr">
        <is>
          <t>Look at the left menu.</t>
        </is>
      </c>
      <c r="D78" s="22" t="inlineStr">
        <is>
          <t>Dashboard, Pending Reviews, Reviewed History, My Events, All Opportunities, Users, Organizations, My Hours, Help.</t>
        </is>
      </c>
      <c r="E78" s="23" t="n"/>
      <c r="F78" s="22" t="n"/>
      <c r="G78" s="23" t="n"/>
    </row>
    <row r="79" ht="42" customHeight="1">
      <c r="A79" s="21" t="inlineStr">
        <is>
          <t>AD2</t>
        </is>
      </c>
      <c r="B79" s="22" t="inlineStr">
        <is>
          <t>As an Admin, I can do everything a supervisor can.</t>
        </is>
      </c>
      <c r="C79" s="22" t="inlineStr">
        <is>
          <t>Spot-check: approve an item and create an event.</t>
        </is>
      </c>
      <c r="D79" s="22" t="inlineStr">
        <is>
          <t>Both work.</t>
        </is>
      </c>
      <c r="E79" s="23" t="n"/>
      <c r="F79" s="22" t="n"/>
      <c r="G79" s="23" t="n"/>
    </row>
    <row r="80" ht="42" customHeight="1">
      <c r="A80" s="21" t="inlineStr">
        <is>
          <t>AD3</t>
        </is>
      </c>
      <c r="B80" s="22" t="inlineStr">
        <is>
          <t>As an Admin, I only see my org's non-admin users.</t>
        </is>
      </c>
      <c r="C80" s="22" t="inlineStr">
        <is>
          <t>Open Users.</t>
        </is>
      </c>
      <c r="D80" s="22" t="inlineStr">
        <is>
          <t>Only participants/parents/supervisors in your org; no admins/super admins; no other orgs.</t>
        </is>
      </c>
      <c r="E80" s="23" t="n"/>
      <c r="F80" s="22" t="n"/>
      <c r="G80" s="23" t="n"/>
    </row>
    <row r="81" ht="42" customHeight="1">
      <c r="A81" s="21" t="inlineStr">
        <is>
          <t>AD4</t>
        </is>
      </c>
      <c r="B81" s="22" t="inlineStr">
        <is>
          <t>As an Admin, I want to add a supervisor.</t>
        </is>
      </c>
      <c r="C81" s="22" t="inlineStr">
        <is>
          <t>Users → Add user → Supervisor → save.</t>
        </is>
      </c>
      <c r="D81" s="22" t="inlineStr">
        <is>
          <t>Supervisor created, stamped to your org; invite email sent.</t>
        </is>
      </c>
      <c r="E81" s="23" t="n"/>
      <c r="F81" s="22" t="n"/>
      <c r="G81" s="23" t="n"/>
    </row>
    <row r="82" ht="42" customHeight="1">
      <c r="A82" s="21" t="inlineStr">
        <is>
          <t>AD5</t>
        </is>
      </c>
      <c r="B82" s="22" t="inlineStr">
        <is>
          <t>As an Admin, I want to create a participant as a fallback.</t>
        </is>
      </c>
      <c r="C82" s="22" t="inlineStr">
        <is>
          <t>Users → Add user → Participant → save.</t>
        </is>
      </c>
      <c r="D82" s="22" t="inlineStr">
        <is>
          <t>Participant created with a set-password invite (no silent password).</t>
        </is>
      </c>
      <c r="E82" s="23" t="n"/>
      <c r="F82" s="22" t="n"/>
      <c r="G82" s="23" t="n"/>
    </row>
    <row r="83" ht="42" customHeight="1">
      <c r="A83" s="21" t="inlineStr">
        <is>
          <t>AD6</t>
        </is>
      </c>
      <c r="B83" s="22" t="inlineStr">
        <is>
          <t>As an Admin, I want to grant participant hours.</t>
        </is>
      </c>
      <c r="C83" s="22" t="inlineStr">
        <is>
          <t>Open a participant in your org → Add hours.</t>
        </is>
      </c>
      <c r="D83" s="22" t="inlineStr">
        <is>
          <t>Hours auto-approved; count toward their total/medals.</t>
        </is>
      </c>
      <c r="E83" s="23" t="n"/>
      <c r="F83" s="22" t="n"/>
      <c r="G83" s="23" t="n"/>
    </row>
    <row r="84" ht="42" customHeight="1">
      <c r="A84" s="21" t="inlineStr">
        <is>
          <t>AD7</t>
        </is>
      </c>
      <c r="B84" s="22" t="inlineStr">
        <is>
          <t>As an Admin, I want a participant's service record.</t>
        </is>
      </c>
      <c r="C84" s="22" t="inlineStr">
        <is>
          <t>Users → Service record for a participant in your org.</t>
        </is>
      </c>
      <c r="D84" s="22" t="inlineStr">
        <is>
          <t>Record opens.</t>
        </is>
      </c>
      <c r="E84" s="23" t="n"/>
      <c r="F84" s="22" t="n"/>
      <c r="G84" s="23" t="n"/>
    </row>
    <row r="85" ht="42" customHeight="1">
      <c r="A85" s="21" t="inlineStr">
        <is>
          <t>AD8</t>
        </is>
      </c>
      <c r="B85" s="22" t="inlineStr">
        <is>
          <t>As an Admin, I want to edit/delete my org's users.</t>
        </is>
      </c>
      <c r="C85" s="22" t="inlineStr">
        <is>
          <t>Edit a name/phone; delete a test user.</t>
        </is>
      </c>
      <c r="D85" s="22" t="inlineStr">
        <is>
          <t>Changes apply within your org.</t>
        </is>
      </c>
      <c r="E85" s="23" t="n"/>
      <c r="F85" s="22" t="n"/>
      <c r="G85" s="23" t="n"/>
    </row>
    <row r="86" ht="42" customHeight="1">
      <c r="A86" s="21" t="inlineStr">
        <is>
          <t>AD9</t>
        </is>
      </c>
      <c r="B86" s="22" t="inlineStr">
        <is>
          <t>As an Admin, I must NOT act on users outside my org.</t>
        </is>
      </c>
      <c r="C86" s="22" t="inlineStr">
        <is>
          <t>Attempt to reach another org's user (e.g. direct URL).</t>
        </is>
      </c>
      <c r="D86" s="22" t="inlineStr">
        <is>
          <t>Blocked / not visible.</t>
        </is>
      </c>
      <c r="E86" s="23" t="n"/>
      <c r="F86" s="22" t="n"/>
      <c r="G86" s="23" t="n"/>
    </row>
    <row r="87" ht="42" customHeight="1">
      <c r="A87" s="21" t="inlineStr">
        <is>
          <t>AD10</t>
        </is>
      </c>
      <c r="B87" s="22" t="inlineStr">
        <is>
          <t>As an Admin, I cannot grant Admin access or manage admins.</t>
        </is>
      </c>
      <c r="C87" s="22" t="inlineStr">
        <is>
          <t>Look for the 'grant Admin access' action.</t>
        </is>
      </c>
      <c r="D87" s="22" t="inlineStr">
        <is>
          <t>No such button; attempts are blocked server-side.</t>
        </is>
      </c>
      <c r="E87" s="23" t="n"/>
      <c r="F87" s="22" t="n"/>
      <c r="G87" s="23" t="n"/>
    </row>
    <row r="88" ht="42" customHeight="1">
      <c r="A88" s="21" t="inlineStr">
        <is>
          <t>AD11</t>
        </is>
      </c>
      <c r="B88" s="22" t="inlineStr">
        <is>
          <t>As an Admin, I see and edit only my own organization.</t>
        </is>
      </c>
      <c r="C88" s="22" t="inlineStr">
        <is>
          <t>Open Organizations.</t>
        </is>
      </c>
      <c r="D88" s="22" t="inlineStr">
        <is>
          <t>Only your org shows; you can edit its settings.</t>
        </is>
      </c>
      <c r="E88" s="23" t="n"/>
      <c r="F88" s="22" t="n"/>
      <c r="G88" s="23" t="n"/>
    </row>
    <row r="89" ht="42" customHeight="1">
      <c r="A89" s="21" t="inlineStr">
        <is>
          <t>AD12</t>
        </is>
      </c>
      <c r="B89" s="22" t="inlineStr">
        <is>
          <t>As an Admin, I want to generate/rotate my org's join code.</t>
        </is>
      </c>
      <c r="C89" s="22" t="inlineStr">
        <is>
          <t>Organizations → set/generate a join code → save.</t>
        </is>
      </c>
      <c r="D89" s="22" t="inlineStr">
        <is>
          <t>Join code saved; usable at sign-up.</t>
        </is>
      </c>
      <c r="E89" s="23" t="n"/>
      <c r="F89" s="22" t="n"/>
      <c r="G89" s="23" t="n"/>
    </row>
    <row r="90" ht="42" customHeight="1">
      <c r="A90" s="21" t="inlineStr">
        <is>
          <t>AD13</t>
        </is>
      </c>
      <c r="B90" s="22" t="inlineStr">
        <is>
          <t>As an Admin, I cannot create organizations.</t>
        </is>
      </c>
      <c r="C90" s="22" t="inlineStr">
        <is>
          <t>Look for 'Add organization'.</t>
        </is>
      </c>
      <c r="D90" s="22" t="inlineStr">
        <is>
          <t>No Add button; creation blocked.</t>
        </is>
      </c>
      <c r="E90" s="23" t="n"/>
      <c r="F90" s="22" t="n"/>
      <c r="G90" s="23" t="n"/>
    </row>
    <row r="91" ht="42" customHeight="1">
      <c r="A91" s="21" t="inlineStr">
        <is>
          <t>AD14</t>
        </is>
      </c>
      <c r="B91" s="22" t="inlineStr">
        <is>
          <t>As an Admin, I cannot change the recycling cans total.</t>
        </is>
      </c>
      <c r="C91" s="22" t="inlineStr">
        <is>
          <t>Look for the cans/bin admin control.</t>
        </is>
      </c>
      <c r="D91" s="22" t="inlineStr">
        <is>
          <t>Not available (Super Admin only).</t>
        </is>
      </c>
      <c r="E91" s="23" t="n"/>
      <c r="F91" s="22" t="n"/>
      <c r="G91" s="23" t="n"/>
    </row>
    <row r="92" ht="20" customHeight="1">
      <c r="A92" s="19" t="inlineStr">
        <is>
          <t>Super Admin (global)</t>
        </is>
      </c>
      <c r="B92" s="20" t="n"/>
      <c r="C92" s="20" t="n"/>
      <c r="D92" s="20" t="n"/>
      <c r="E92" s="20" t="n"/>
      <c r="F92" s="20" t="n"/>
      <c r="G92" s="20" t="n"/>
    </row>
    <row r="93" ht="42" customHeight="1">
      <c r="A93" s="21" t="inlineStr">
        <is>
          <t>SA1</t>
        </is>
      </c>
      <c r="B93" s="22" t="inlineStr">
        <is>
          <t>As a Super Admin, I want the correct menu tabs.</t>
        </is>
      </c>
      <c r="C93" s="22" t="inlineStr">
        <is>
          <t>Look at the left menu.</t>
        </is>
      </c>
      <c r="D93" s="22" t="inlineStr">
        <is>
          <t>Dashboard, Reports, Users, Events, Organizations (Help in footer).</t>
        </is>
      </c>
      <c r="E93" s="23" t="n"/>
      <c r="F93" s="22" t="n"/>
      <c r="G93" s="23" t="n"/>
    </row>
    <row r="94" ht="42" customHeight="1">
      <c r="A94" s="21" t="inlineStr">
        <is>
          <t>SA2</t>
        </is>
      </c>
      <c r="B94" s="22" t="inlineStr">
        <is>
          <t>As a Super Admin, I can do everything an Admin can, across all orgs.</t>
        </is>
      </c>
      <c r="C94" s="22" t="inlineStr">
        <is>
          <t>Spot-check user + org actions on more than one org.</t>
        </is>
      </c>
      <c r="D94" s="22" t="inlineStr">
        <is>
          <t>All allowed regardless of org.</t>
        </is>
      </c>
      <c r="E94" s="23" t="n"/>
      <c r="F94" s="22" t="n"/>
      <c r="G94" s="23" t="n"/>
    </row>
    <row r="95" ht="42" customHeight="1">
      <c r="A95" s="21" t="inlineStr">
        <is>
          <t>SA3</t>
        </is>
      </c>
      <c r="B95" s="22" t="inlineStr">
        <is>
          <t>As a Super Admin, I want to create users incl. Supervisor and Super Admin.</t>
        </is>
      </c>
      <c r="C95" s="22" t="inlineStr">
        <is>
          <t>Users → Add user → each role.</t>
        </is>
      </c>
      <c r="D95" s="22" t="inlineStr">
        <is>
          <t>Participant/Supervisor/Super Admin options available; account created + invite email.</t>
        </is>
      </c>
      <c r="E95" s="23" t="n"/>
      <c r="F95" s="22" t="n"/>
      <c r="G95" s="23" t="n"/>
    </row>
    <row r="96" ht="42" customHeight="1">
      <c r="A96" s="21" t="inlineStr">
        <is>
          <t>SA4</t>
        </is>
      </c>
      <c r="B96" s="22" t="inlineStr">
        <is>
          <t>As a Super Admin, I want to grant/revoke Admin access.</t>
        </is>
      </c>
      <c r="C96" s="22" t="inlineStr">
        <is>
          <t>Open a user → grant Admin access → check org(s) → save; then uncheck all → save.</t>
        </is>
      </c>
      <c r="D96" s="22" t="inlineStr">
        <is>
          <t>Checking orgs makes an Admin; unchecking all reverts to participant.</t>
        </is>
      </c>
      <c r="E96" s="23" t="n"/>
      <c r="F96" s="22" t="n"/>
      <c r="G96" s="23" t="n"/>
    </row>
    <row r="97" ht="42" customHeight="1">
      <c r="A97" s="21" t="inlineStr">
        <is>
          <t>SA5</t>
        </is>
      </c>
      <c r="B97" s="22" t="inlineStr">
        <is>
          <t>As a Super Admin, I want to create organizations + join codes.</t>
        </is>
      </c>
      <c r="C97" s="22" t="inlineStr">
        <is>
          <t>Organizations → Add organization → set details + join code.</t>
        </is>
      </c>
      <c r="D97" s="22" t="inlineStr">
        <is>
          <t>Org created with its join code.</t>
        </is>
      </c>
      <c r="E97" s="23" t="n"/>
      <c r="F97" s="22" t="n"/>
      <c r="G97" s="23" t="n"/>
    </row>
    <row r="98" ht="42" customHeight="1">
      <c r="A98" s="21" t="inlineStr">
        <is>
          <t>SA6</t>
        </is>
      </c>
      <c r="B98" s="22" t="inlineStr">
        <is>
          <t>As a Super Admin, I want to find users by type.</t>
        </is>
      </c>
      <c r="C98" s="22" t="inlineStr">
        <is>
          <t>Users → role filter pills + search.</t>
        </is>
      </c>
      <c r="D98" s="22" t="inlineStr">
        <is>
          <t>Filter by role with counts; search by name/email across all orgs.</t>
        </is>
      </c>
      <c r="E98" s="23" t="n"/>
      <c r="F98" s="22" t="n"/>
      <c r="G98" s="23" t="n"/>
    </row>
    <row r="99" ht="42" customHeight="1">
      <c r="A99" s="21" t="inlineStr">
        <is>
          <t>SA7</t>
        </is>
      </c>
      <c r="B99" s="22" t="inlineStr">
        <is>
          <t>As a Super Admin, I want to search events.</t>
        </is>
      </c>
      <c r="C99" s="22" t="inlineStr">
        <is>
          <t>Events → search + date range; check supervisor/org per card.</t>
        </is>
      </c>
      <c r="D99" s="22" t="inlineStr">
        <is>
          <t>Filters work; each event shows supervisor and organization.</t>
        </is>
      </c>
      <c r="E99" s="23" t="n"/>
      <c r="F99" s="22" t="n"/>
      <c r="G99" s="23" t="n"/>
    </row>
    <row r="100" ht="42" customHeight="1">
      <c r="A100" s="21" t="inlineStr">
        <is>
          <t>SA8</t>
        </is>
      </c>
      <c r="B100" s="22" t="inlineStr">
        <is>
          <t>As a Super Admin, I want clear event-visibility labels.</t>
        </is>
      </c>
      <c r="C100" s="22" t="inlineStr">
        <is>
          <t>New Event → 'Who can see this'.</t>
        </is>
      </c>
      <c r="D100" s="22" t="inlineStr">
        <is>
          <t>'Open to all (community)' and 'Only &lt;org&gt; students' with helper text.</t>
        </is>
      </c>
      <c r="E100" s="23" t="n"/>
      <c r="F100" s="22" t="n"/>
      <c r="G100" s="23" t="n"/>
    </row>
    <row r="101" ht="42" customHeight="1">
      <c r="A101" s="21" t="inlineStr">
        <is>
          <t>SA9</t>
        </is>
      </c>
      <c r="B101" s="22" t="inlineStr">
        <is>
          <t>As a Super Admin, I want program-wide reports.</t>
        </is>
      </c>
      <c r="C101" s="22" t="inlineStr">
        <is>
          <t>Open Reports / Dashboard.</t>
        </is>
      </c>
      <c r="D101" s="22" t="inlineStr">
        <is>
          <t>Totals and charts across the whole program.</t>
        </is>
      </c>
      <c r="E101" s="23" t="n"/>
      <c r="F101" s="22" t="n"/>
      <c r="G101" s="23" t="n"/>
    </row>
    <row r="102" ht="42" customHeight="1">
      <c r="A102" s="21" t="inlineStr">
        <is>
          <t>SA10</t>
        </is>
      </c>
      <c r="B102" s="22" t="inlineStr">
        <is>
          <t>As a Super Admin, I want to verify email works.</t>
        </is>
      </c>
      <c r="C102" s="22" t="inlineStr">
        <is>
          <t>Dashboard → Send test email.</t>
        </is>
      </c>
      <c r="D102" s="22" t="inlineStr">
        <is>
          <t>Result shown (success or the exact failure reason).</t>
        </is>
      </c>
      <c r="E102" s="23" t="n"/>
      <c r="F102" s="22" t="n"/>
      <c r="G102" s="23" t="n"/>
    </row>
    <row r="103" ht="42" customHeight="1">
      <c r="A103" s="21" t="inlineStr">
        <is>
          <t>SA11</t>
        </is>
      </c>
      <c r="B103" s="22" t="inlineStr">
        <is>
          <t>As a Super Admin, I want to update the recycling cans total.</t>
        </is>
      </c>
      <c r="C103" s="22" t="inlineStr">
        <is>
          <t>Use the cans/bin admin control.</t>
        </is>
      </c>
      <c r="D103" s="22" t="inlineStr">
        <is>
          <t>Total updates; the ribbon reflects it.</t>
        </is>
      </c>
      <c r="E103" s="23" t="n"/>
      <c r="F103" s="22" t="n"/>
      <c r="G103" s="23" t="n"/>
    </row>
    <row r="104" ht="42" customHeight="1">
      <c r="A104" s="21" t="inlineStr">
        <is>
          <t>SA12</t>
        </is>
      </c>
      <c r="B104" s="22" t="inlineStr">
        <is>
          <t>As a Super Admin, I want hours + records for any user.</t>
        </is>
      </c>
      <c r="C104" s="22" t="inlineStr">
        <is>
          <t>Add manual hours / open service record for any participant.</t>
        </is>
      </c>
      <c r="D104" s="22" t="inlineStr">
        <is>
          <t>Works for any org.</t>
        </is>
      </c>
      <c r="E104" s="23" t="n"/>
      <c r="F104" s="22" t="n"/>
      <c r="G104" s="23" t="n"/>
    </row>
    <row r="105" ht="20" customHeight="1">
      <c r="A105" s="19" t="inlineStr">
        <is>
          <t>Cross-cutting</t>
        </is>
      </c>
      <c r="B105" s="20" t="n"/>
      <c r="C105" s="20" t="n"/>
      <c r="D105" s="20" t="n"/>
      <c r="E105" s="20" t="n"/>
      <c r="F105" s="20" t="n"/>
      <c r="G105" s="20" t="n"/>
    </row>
    <row r="106" ht="42" customHeight="1">
      <c r="A106" s="21" t="inlineStr">
        <is>
          <t>X1</t>
        </is>
      </c>
      <c r="B106" s="22" t="inlineStr">
        <is>
          <t>As a phone user, I want a usable mobile layout.</t>
        </is>
      </c>
      <c r="C106" s="22" t="inlineStr">
        <is>
          <t>Open at phone width; use the menu drawer.</t>
        </is>
      </c>
      <c r="D106" s="22" t="inlineStr">
        <is>
          <t>Layout adapts; drawer opens/closes; no horizontal scroll.</t>
        </is>
      </c>
      <c r="E106" s="23" t="n"/>
      <c r="F106" s="22" t="n"/>
      <c r="G106" s="23" t="n"/>
    </row>
    <row r="107" ht="42" customHeight="1">
      <c r="A107" s="21" t="inlineStr">
        <is>
          <t>X2</t>
        </is>
      </c>
      <c r="B107" s="22" t="inlineStr">
        <is>
          <t>As a visitor, I want the recycling ribbon on the login page.</t>
        </is>
      </c>
      <c r="C107" s="22" t="inlineStr">
        <is>
          <t>Open login signed out.</t>
        </is>
      </c>
      <c r="D107" s="22" t="inlineStr">
        <is>
          <t>Green ribbon shows on login.</t>
        </is>
      </c>
      <c r="E107" s="23" t="n"/>
      <c r="F107" s="22" t="n"/>
      <c r="G107" s="23" t="n"/>
    </row>
  </sheetData>
  <mergeCells count="9">
    <mergeCell ref="A1:G1"/>
    <mergeCell ref="A3:G3"/>
    <mergeCell ref="A77:G77"/>
    <mergeCell ref="A105:G105"/>
    <mergeCell ref="A35:G35"/>
    <mergeCell ref="A92:G92"/>
    <mergeCell ref="A57:G57"/>
    <mergeCell ref="A51:G51"/>
    <mergeCell ref="A10:G10"/>
  </mergeCells>
  <conditionalFormatting sqref="E4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11:E34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conditionalFormatting sqref="E36:E50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</conditionalFormatting>
  <conditionalFormatting sqref="E52:E56"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</conditionalFormatting>
  <conditionalFormatting sqref="E58:E76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</conditionalFormatting>
  <conditionalFormatting sqref="E78:E91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</conditionalFormatting>
  <conditionalFormatting sqref="E93:E104"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</conditionalFormatting>
  <conditionalFormatting sqref="E106:E107"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</conditionalFormatting>
  <dataValidations count="1">
    <dataValidation sqref="E4:E9 E11:E34 E36:E50 E52:E56 E58:E76 E78:E91 E93:E104 E106:E107" showDropDown="0" showInputMessage="0" showErrorMessage="0" allowBlank="1" type="list">
      <formula1>"Pass,Fail,Blocked,Not tested,N/A"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2" customWidth="1" min="3" max="3"/>
    <col width="52" customWidth="1" min="4" max="4"/>
    <col width="13" customWidth="1" min="5" max="5"/>
    <col width="34" customWidth="1" min="6" max="6"/>
    <col width="15" customWidth="1" min="7" max="7"/>
  </cols>
  <sheetData>
    <row r="1" ht="28" customHeight="1">
      <c r="A1" s="17" t="inlineStr">
        <is>
          <t>Test cases — Desktop Other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8" t="inlineStr">
        <is>
          <t>ID</t>
        </is>
      </c>
      <c r="B2" s="18" t="inlineStr">
        <is>
          <t>User story</t>
        </is>
      </c>
      <c r="C2" s="18" t="inlineStr">
        <is>
          <t>Steps to perform</t>
        </is>
      </c>
      <c r="D2" s="18" t="inlineStr">
        <is>
          <t>Expected behavior (what you should see)</t>
        </is>
      </c>
      <c r="E2" s="18" t="inlineStr">
        <is>
          <t>Result</t>
        </is>
      </c>
      <c r="F2" s="18" t="inlineStr">
        <is>
          <t>Comments</t>
        </is>
      </c>
      <c r="G2" s="18" t="inlineStr">
        <is>
          <t>Tester</t>
        </is>
      </c>
    </row>
    <row r="3" ht="20" customHeight="1">
      <c r="A3" s="19" t="inlineStr">
        <is>
          <t>Account &amp; access (all roles)</t>
        </is>
      </c>
      <c r="B3" s="20" t="n"/>
      <c r="C3" s="20" t="n"/>
      <c r="D3" s="20" t="n"/>
      <c r="E3" s="20" t="n"/>
      <c r="F3" s="20" t="n"/>
      <c r="G3" s="20" t="n"/>
    </row>
    <row r="4" ht="42" customHeight="1">
      <c r="A4" s="21" t="inlineStr">
        <is>
          <t>AC1</t>
        </is>
      </c>
      <c r="B4" s="22" t="inlineStr">
        <is>
          <t>As any user, I want to log in with email and password.</t>
        </is>
      </c>
      <c r="C4" s="22" t="inlineStr">
        <is>
          <t>Enter valid email/password and Sign in.</t>
        </is>
      </c>
      <c r="D4" s="22" t="inlineStr">
        <is>
          <t>You're signed in and taken to your role's home.</t>
        </is>
      </c>
      <c r="E4" s="23" t="n"/>
      <c r="F4" s="22" t="n"/>
      <c r="G4" s="23" t="n"/>
    </row>
    <row r="5" ht="42" customHeight="1">
      <c r="A5" s="21" t="inlineStr">
        <is>
          <t>AC2</t>
        </is>
      </c>
      <c r="B5" s="22" t="inlineStr">
        <is>
          <t>As any user, I want to reveal my password while typing.</t>
        </is>
      </c>
      <c r="C5" s="22" t="inlineStr">
        <is>
          <t>Tap the eye icon in the password field.</t>
        </is>
      </c>
      <c r="D5" s="22" t="inlineStr">
        <is>
          <t>Password text toggles visible/hidden.</t>
        </is>
      </c>
      <c r="E5" s="23" t="n"/>
      <c r="F5" s="22" t="n"/>
      <c r="G5" s="23" t="n"/>
    </row>
    <row r="6" ht="42" customHeight="1">
      <c r="A6" s="21" t="inlineStr">
        <is>
          <t>AC3</t>
        </is>
      </c>
      <c r="B6" s="22" t="inlineStr">
        <is>
          <t>As any user, I want to reset a forgotten password by email.</t>
        </is>
      </c>
      <c r="C6" s="22" t="inlineStr">
        <is>
          <t>Forgot password → enter email → open email → follow link → set new password → sign in.</t>
        </is>
      </c>
      <c r="D6" s="22" t="inlineStr">
        <is>
          <t>Reset email arrives; link works; new password signs in; old one fails.</t>
        </is>
      </c>
      <c r="E6" s="23" t="n"/>
      <c r="F6" s="22" t="n"/>
      <c r="G6" s="23" t="n"/>
    </row>
    <row r="7" ht="42" customHeight="1">
      <c r="A7" s="21" t="inlineStr">
        <is>
          <t>AC4</t>
        </is>
      </c>
      <c r="B7" s="22" t="inlineStr">
        <is>
          <t>As any user, I want to sign out.</t>
        </is>
      </c>
      <c r="C7" s="22" t="inlineStr">
        <is>
          <t>Use Sign out.</t>
        </is>
      </c>
      <c r="D7" s="22" t="inlineStr">
        <is>
          <t>Logged out; returned to login/landing.</t>
        </is>
      </c>
      <c r="E7" s="23" t="n"/>
      <c r="F7" s="22" t="n"/>
      <c r="G7" s="23" t="n"/>
    </row>
    <row r="8" ht="42" customHeight="1">
      <c r="A8" s="21" t="inlineStr">
        <is>
          <t>AC5</t>
        </is>
      </c>
      <c r="B8" s="22" t="inlineStr">
        <is>
          <t>As any user, I want a clear error for bad credentials.</t>
        </is>
      </c>
      <c r="C8" s="22" t="inlineStr">
        <is>
          <t>Enter a wrong password.</t>
        </is>
      </c>
      <c r="D8" s="22" t="inlineStr">
        <is>
          <t>Clear 'login failed' message; stay on login.</t>
        </is>
      </c>
      <c r="E8" s="23" t="n"/>
      <c r="F8" s="22" t="n"/>
      <c r="G8" s="23" t="n"/>
    </row>
    <row r="9" ht="42" customHeight="1">
      <c r="A9" s="21" t="inlineStr">
        <is>
          <t>AC6</t>
        </is>
      </c>
      <c r="B9" s="22" t="inlineStr">
        <is>
          <t>As any user, my session persists and protected pages are guarded.</t>
        </is>
      </c>
      <c r="C9" s="22" t="inlineStr">
        <is>
          <t>Sign in, refresh; then sign out and open a protected URL directly.</t>
        </is>
      </c>
      <c r="D9" s="22" t="inlineStr">
        <is>
          <t>Refresh stays signed in; protected pages redirect to login when signed out.</t>
        </is>
      </c>
      <c r="E9" s="23" t="n"/>
      <c r="F9" s="22" t="n"/>
      <c r="G9" s="23" t="n"/>
    </row>
    <row r="10" ht="20" customHeight="1">
      <c r="A10" s="19" t="inlineStr">
        <is>
          <t>Participant (grades 6–12)</t>
        </is>
      </c>
      <c r="B10" s="20" t="n"/>
      <c r="C10" s="20" t="n"/>
      <c r="D10" s="20" t="n"/>
      <c r="E10" s="20" t="n"/>
      <c r="F10" s="20" t="n"/>
      <c r="G10" s="20" t="n"/>
    </row>
    <row r="11" ht="42" customHeight="1">
      <c r="A11" s="21" t="inlineStr">
        <is>
          <t>PT1</t>
        </is>
      </c>
      <c r="B11" s="22" t="inlineStr">
        <is>
          <t>As a student (6–12), I want to self-register with the form.</t>
        </is>
      </c>
      <c r="C11" s="22" t="inlineStr">
        <is>
          <t>Create account → student option; fill name, email, password, grade, school, parent email; submit.</t>
        </is>
      </c>
      <c r="D11" s="22" t="inlineStr">
        <is>
          <t>Account created; signed in on the participant dashboard.</t>
        </is>
      </c>
      <c r="E11" s="23" t="n"/>
      <c r="F11" s="22" t="n"/>
      <c r="G11" s="23" t="n"/>
    </row>
    <row r="12" ht="42" customHeight="1">
      <c r="A12" s="21" t="inlineStr">
        <is>
          <t>PT2</t>
        </is>
      </c>
      <c r="B12" s="22" t="inlineStr">
        <is>
          <t>As a student, I want to enter an organization code during sign-up.</t>
        </is>
      </c>
      <c r="C12" s="22" t="inlineStr">
        <is>
          <t>Enter a code in the Organization code field (optional) and submit.</t>
        </is>
      </c>
      <c r="D12" s="22" t="inlineStr">
        <is>
          <t>A valid code enrolls me in that org; a bad code is rejected; blank is allowed.</t>
        </is>
      </c>
      <c r="E12" s="23" t="n"/>
      <c r="F12" s="22" t="n"/>
      <c r="G12" s="23" t="n"/>
    </row>
    <row r="13" ht="42" customHeight="1">
      <c r="A13" s="21" t="inlineStr">
        <is>
          <t>PT3</t>
        </is>
      </c>
      <c r="B13" s="22" t="inlineStr">
        <is>
          <t>As a participant, I want the correct 7 left-menu tabs.</t>
        </is>
      </c>
      <c r="C13" s="22" t="inlineStr">
        <is>
          <t>Look at the left menu.</t>
        </is>
      </c>
      <c r="D13" s="22" t="inlineStr">
        <is>
          <t>Exactly: Dashboard, Sign Up, Submit My Hours, Leaderboard, My Reports, My Profile, Help.</t>
        </is>
      </c>
      <c r="E13" s="23" t="n"/>
      <c r="F13" s="22" t="n"/>
      <c r="G13" s="23" t="n"/>
    </row>
    <row r="14" ht="42" customHeight="1">
      <c r="A14" s="21" t="inlineStr">
        <is>
          <t>PT4</t>
        </is>
      </c>
      <c r="B14" s="22" t="inlineStr">
        <is>
          <t>As a participant, I want a dashboard of my hours and next medal.</t>
        </is>
      </c>
      <c r="C14" s="22" t="inlineStr">
        <is>
          <t>Open the dashboard.</t>
        </is>
      </c>
      <c r="D14" s="22" t="inlineStr">
        <is>
          <t>Approved-hours ring, next medal + hours to go, and quick actions.</t>
        </is>
      </c>
      <c r="E14" s="23" t="n"/>
      <c r="F14" s="22" t="n"/>
      <c r="G14" s="23" t="n"/>
    </row>
    <row r="15" ht="42" customHeight="1">
      <c r="A15" s="21" t="inlineStr">
        <is>
          <t>PT5</t>
        </is>
      </c>
      <c r="B15" s="22" t="inlineStr">
        <is>
          <t>As a participant, I want to find and sign up for an opportunity.</t>
        </is>
      </c>
      <c r="C15" s="22" t="inlineStr">
        <is>
          <t>Sign Up → Upcoming events → open one → Sign Up.</t>
        </is>
      </c>
      <c r="D15" s="22" t="inlineStr">
        <is>
          <t>Registered; confirmation; it moves to My sign-ups.</t>
        </is>
      </c>
      <c r="E15" s="23" t="n"/>
      <c r="F15" s="22" t="n"/>
      <c r="G15" s="23" t="n"/>
    </row>
    <row r="16" ht="42" customHeight="1">
      <c r="A16" s="21" t="inlineStr">
        <is>
          <t>PT6</t>
        </is>
      </c>
      <c r="B16" s="22" t="inlineStr">
        <is>
          <t>As a participant, I want to add a signed-up event to my calendar.</t>
        </is>
      </c>
      <c r="C16" s="22" t="inlineStr">
        <is>
          <t>My sign-ups → add to calendar.</t>
        </is>
      </c>
      <c r="D16" s="22" t="inlineStr">
        <is>
          <t>An .ics downloads with correct title/date/time/location.</t>
        </is>
      </c>
      <c r="E16" s="23" t="n"/>
      <c r="F16" s="22" t="n"/>
      <c r="G16" s="23" t="n"/>
    </row>
    <row r="17" ht="42" customHeight="1">
      <c r="A17" s="21" t="inlineStr">
        <is>
          <t>PT7</t>
        </is>
      </c>
      <c r="B17" s="22" t="inlineStr">
        <is>
          <t>As a participant, I want to see my past events.</t>
        </is>
      </c>
      <c r="C17" s="22" t="inlineStr">
        <is>
          <t>Sign Up → Past tab.</t>
        </is>
      </c>
      <c r="D17" s="22" t="inlineStr">
        <is>
          <t>Past events are listed.</t>
        </is>
      </c>
      <c r="E17" s="23" t="n"/>
      <c r="F17" s="22" t="n"/>
      <c r="G17" s="23" t="n"/>
    </row>
    <row r="18" ht="42" customHeight="1">
      <c r="A18" s="21" t="inlineStr">
        <is>
          <t>PT8</t>
        </is>
      </c>
      <c r="B18" s="22" t="inlineStr">
        <is>
          <t>As a participant, I want to search opportunities.</t>
        </is>
      </c>
      <c r="C18" s="22" t="inlineStr">
        <is>
          <t>Use the search box (name/description/location).</t>
        </is>
      </c>
      <c r="D18" s="22" t="inlineStr">
        <is>
          <t>List filters to matches.</t>
        </is>
      </c>
      <c r="E18" s="23" t="n"/>
      <c r="F18" s="22" t="n"/>
      <c r="G18" s="23" t="n"/>
    </row>
    <row r="19" ht="42" customHeight="1">
      <c r="A19" s="21" t="inlineStr">
        <is>
          <t>PT9</t>
        </is>
      </c>
      <c r="B19" s="22" t="inlineStr">
        <is>
          <t>As a participant, I want to withdraw from an event.</t>
        </is>
      </c>
      <c r="C19" s="22" t="inlineStr">
        <is>
          <t>My sign-ups → red Withdraw → confirm.</t>
        </is>
      </c>
      <c r="D19" s="22" t="inlineStr">
        <is>
          <t>Removed; can re-sign up later if space.</t>
        </is>
      </c>
      <c r="E19" s="23" t="n"/>
      <c r="F19" s="22" t="n"/>
      <c r="G19" s="23" t="n"/>
    </row>
    <row r="20" ht="42" customHeight="1">
      <c r="A20" s="21" t="inlineStr">
        <is>
          <t>PT10</t>
        </is>
      </c>
      <c r="B20" s="22" t="inlineStr">
        <is>
          <t>As a participant, I can only join grade-appropriate events.</t>
        </is>
      </c>
      <c r="C20" s="22" t="inlineStr">
        <is>
          <t>Try an event outside your grade range.</t>
        </is>
      </c>
      <c r="D20" s="22" t="inlineStr">
        <is>
          <t>Not available / blocked with a grade message.</t>
        </is>
      </c>
      <c r="E20" s="23" t="n"/>
      <c r="F20" s="22" t="n"/>
      <c r="G20" s="23" t="n"/>
    </row>
    <row r="21" ht="42" customHeight="1">
      <c r="A21" s="21" t="inlineStr">
        <is>
          <t>PT11</t>
        </is>
      </c>
      <c r="B21" s="22" t="inlineStr">
        <is>
          <t>As a participant, I only see my org's or open events.</t>
        </is>
      </c>
      <c r="C21" s="22" t="inlineStr">
        <is>
          <t>Browse opportunities.</t>
        </is>
      </c>
      <c r="D21" s="22" t="inlineStr">
        <is>
          <t>Open-to-all show; other orgs' private events don't appear.</t>
        </is>
      </c>
      <c r="E21" s="23" t="n"/>
      <c r="F21" s="22" t="n"/>
      <c r="G21" s="23" t="n"/>
    </row>
    <row r="22" ht="42" customHeight="1">
      <c r="A22" s="21" t="inlineStr">
        <is>
          <t>PT12</t>
        </is>
      </c>
      <c r="B22" s="22" t="inlineStr">
        <is>
          <t>As a participant, I want to check in on event day.</t>
        </is>
      </c>
      <c r="C22" s="22" t="inlineStr">
        <is>
          <t>On the day, within the window, use the Check-In panel.</t>
        </is>
      </c>
      <c r="D22" s="22" t="inlineStr">
        <is>
          <t>Check-in succeeds; before the window shows 'Not open yet'.</t>
        </is>
      </c>
      <c r="E22" s="23" t="n"/>
      <c r="F22" s="22" t="n"/>
      <c r="G22" s="23" t="n"/>
    </row>
    <row r="23" ht="42" customHeight="1">
      <c r="A23" s="21" t="inlineStr">
        <is>
          <t>PT13</t>
        </is>
      </c>
      <c r="B23" s="22" t="inlineStr">
        <is>
          <t>As a participant, I want to submit hours after an event.</t>
        </is>
      </c>
      <c r="C23" s="22" t="inlineStr">
        <is>
          <t>Submit My Hours → Post-event hours → enter hours → submit.</t>
        </is>
      </c>
      <c r="D23" s="22" t="inlineStr">
        <is>
          <t>Sent for approval; shows 'Waiting for review'.</t>
        </is>
      </c>
      <c r="E23" s="23" t="n"/>
      <c r="F23" s="22" t="n"/>
      <c r="G23" s="23" t="n"/>
    </row>
    <row r="24" ht="42" customHeight="1">
      <c r="A24" s="21" t="inlineStr">
        <is>
          <t>PT14</t>
        </is>
      </c>
      <c r="B24" s="22" t="inlineStr">
        <is>
          <t>As a participant who didn't sign up, I want to submit hours.</t>
        </is>
      </c>
      <c r="C24" s="22" t="inlineStr">
        <is>
          <t>Post-event hours → 'Attended without signing up?' → pick event → submit.</t>
        </is>
      </c>
      <c r="D24" s="22" t="inlineStr">
        <is>
          <t>Section always visible; eligible past events claimable, else empty-state note.</t>
        </is>
      </c>
      <c r="E24" s="23" t="n"/>
      <c r="F24" s="22" t="n"/>
      <c r="G24" s="23" t="n"/>
    </row>
    <row r="25" ht="42" customHeight="1">
      <c r="A25" s="21" t="inlineStr">
        <is>
          <t>PT15</t>
        </is>
      </c>
      <c r="B25" s="22" t="inlineStr">
        <is>
          <t>As a participant, I want to resubmit rejected hours.</t>
        </is>
      </c>
      <c r="C25" s="22" t="inlineStr">
        <is>
          <t>Open a rejected item → resubmit corrected hours.</t>
        </is>
      </c>
      <c r="D25" s="22" t="inlineStr">
        <is>
          <t>Returns to 'Waiting for review'.</t>
        </is>
      </c>
      <c r="E25" s="23" t="n"/>
      <c r="F25" s="22" t="n"/>
      <c r="G25" s="23" t="n"/>
    </row>
    <row r="26" ht="42" customHeight="1">
      <c r="A26" s="21" t="inlineStr">
        <is>
          <t>PT16</t>
        </is>
      </c>
      <c r="B26" s="22" t="inlineStr">
        <is>
          <t>As a participant, I want to log outside volunteering.</t>
        </is>
      </c>
      <c r="C26" s="22" t="inlineStr">
        <is>
          <t>Submit My Hours → Outside volunteering → org, EIN, date, hours, guidelines → submit.</t>
        </is>
      </c>
      <c r="D26" s="22" t="inlineStr">
        <is>
          <t>Recorded as pending external hours.</t>
        </is>
      </c>
      <c r="E26" s="23" t="n"/>
      <c r="F26" s="22" t="n"/>
      <c r="G26" s="23" t="n"/>
    </row>
    <row r="27" ht="42" customHeight="1">
      <c r="A27" s="21" t="inlineStr">
        <is>
          <t>PT17</t>
        </is>
      </c>
      <c r="B27" s="22" t="inlineStr">
        <is>
          <t>As a participant, proof is required over 5 external hours.</t>
        </is>
      </c>
      <c r="C27" s="22" t="inlineStr">
        <is>
          <t>Submit &gt;5h without proof, then with proof.</t>
        </is>
      </c>
      <c r="D27" s="22" t="inlineStr">
        <is>
          <t>Blocked without proof; submits with a photo/letter.</t>
        </is>
      </c>
      <c r="E27" s="23" t="n"/>
      <c r="F27" s="22" t="n"/>
      <c r="G27" s="23" t="n"/>
    </row>
    <row r="28" ht="42" customHeight="1">
      <c r="A28" s="21" t="inlineStr">
        <is>
          <t>PT18</t>
        </is>
      </c>
      <c r="B28" s="22" t="inlineStr">
        <is>
          <t>As a participant, I want an email when my hours are reviewed.</t>
        </is>
      </c>
      <c r="C28" s="22" t="inlineStr">
        <is>
          <t>Have a supervisor approve then reject one of your submissions.</t>
        </is>
      </c>
      <c r="D28" s="22" t="inlineStr">
        <is>
          <t>You (and your parent) receive approved / needs-attention emails.</t>
        </is>
      </c>
      <c r="E28" s="23" t="n"/>
      <c r="F28" s="22" t="n"/>
      <c r="G28" s="23" t="n"/>
    </row>
    <row r="29" ht="42" customHeight="1">
      <c r="A29" s="21" t="inlineStr">
        <is>
          <t>PT19</t>
        </is>
      </c>
      <c r="B29" s="22" t="inlineStr">
        <is>
          <t>As a participant, I want a reports view.</t>
        </is>
      </c>
      <c r="C29" s="22" t="inlineStr">
        <is>
          <t>Open My Reports.</t>
        </is>
      </c>
      <c r="D29" s="22" t="inlineStr">
        <is>
          <t>Total/in-program/external/waiting hours and medal progress bars.</t>
        </is>
      </c>
      <c r="E29" s="23" t="n"/>
      <c r="F29" s="22" t="n"/>
      <c r="G29" s="23" t="n"/>
    </row>
    <row r="30" ht="42" customHeight="1">
      <c r="A30" s="21" t="inlineStr">
        <is>
          <t>PT20</t>
        </is>
      </c>
      <c r="B30" s="22" t="inlineStr">
        <is>
          <t>As a participant, I want an official service record.</t>
        </is>
      </c>
      <c r="C30" s="22" t="inlineStr">
        <is>
          <t>My Reports → Verified service record.</t>
        </is>
      </c>
      <c r="D30" s="22" t="inlineStr">
        <is>
          <t>Itemized printable statement; Save-as-PDF works.</t>
        </is>
      </c>
      <c r="E30" s="23" t="n"/>
      <c r="F30" s="22" t="n"/>
      <c r="G30" s="23" t="n"/>
    </row>
    <row r="31" ht="42" customHeight="1">
      <c r="A31" s="21" t="inlineStr">
        <is>
          <t>PT21</t>
        </is>
      </c>
      <c r="B31" s="22" t="inlineStr">
        <is>
          <t>As a participant, I want leaderboard privacy.</t>
        </is>
      </c>
      <c r="C31" s="22" t="inlineStr">
        <is>
          <t>Set alias/hide in My Profile → view leaderboard.</t>
        </is>
      </c>
      <c r="D31" s="22" t="inlineStr">
        <is>
          <t>Shows alias or 'Anonymous' to others; you see yourself.</t>
        </is>
      </c>
      <c r="E31" s="23" t="n"/>
      <c r="F31" s="22" t="n"/>
      <c r="G31" s="23" t="n"/>
    </row>
    <row r="32" ht="42" customHeight="1">
      <c r="A32" s="21" t="inlineStr">
        <is>
          <t>PT22</t>
        </is>
      </c>
      <c r="B32" s="22" t="inlineStr">
        <is>
          <t>As a participant, I want to edit my profile.</t>
        </is>
      </c>
      <c r="C32" s="22" t="inlineStr">
        <is>
          <t>My Profile → change name/grade/school/affiliation → save.</t>
        </is>
      </c>
      <c r="D32" s="22" t="inlineStr">
        <is>
          <t>Saves; switching to a code-protected org needs a valid code.</t>
        </is>
      </c>
      <c r="E32" s="23" t="n"/>
      <c r="F32" s="22" t="n"/>
      <c r="G32" s="23" t="n"/>
    </row>
    <row r="33" ht="42" customHeight="1">
      <c r="A33" s="21" t="inlineStr">
        <is>
          <t>PT23</t>
        </is>
      </c>
      <c r="B33" s="22" t="inlineStr">
        <is>
          <t>As a participant, I want Help incl. join codes.</t>
        </is>
      </c>
      <c r="C33" s="22" t="inlineStr">
        <is>
          <t>Open Help; expand entries.</t>
        </is>
      </c>
      <c r="D33" s="22" t="inlineStr">
        <is>
          <t>Covers sign-up, hours, join codes, and 'email mcc@medinaacademy.org'.</t>
        </is>
      </c>
      <c r="E33" s="23" t="n"/>
      <c r="F33" s="22" t="n"/>
      <c r="G33" s="23" t="n"/>
    </row>
    <row r="34" ht="42" customHeight="1">
      <c r="A34" s="21" t="inlineStr">
        <is>
          <t>PT24</t>
        </is>
      </c>
      <c r="B34" s="22" t="inlineStr">
        <is>
          <t>As a participant, I want the recycling ribbon on every page.</t>
        </is>
      </c>
      <c r="C34" s="22" t="inlineStr">
        <is>
          <t>Navigate around signed in.</t>
        </is>
      </c>
      <c r="D34" s="22" t="inlineStr">
        <is>
          <t>Green ribbon with cans + 100,000 countdown on every page.</t>
        </is>
      </c>
      <c r="E34" s="23" t="n"/>
      <c r="F34" s="22" t="n"/>
      <c r="G34" s="23" t="n"/>
    </row>
    <row r="35" ht="20" customHeight="1">
      <c r="A35" s="19" t="inlineStr">
        <is>
          <t>Parent — elementary (grades 2–5 child)</t>
        </is>
      </c>
      <c r="B35" s="20" t="n"/>
      <c r="C35" s="20" t="n"/>
      <c r="D35" s="20" t="n"/>
      <c r="E35" s="20" t="n"/>
      <c r="F35" s="20" t="n"/>
      <c r="G35" s="20" t="n"/>
    </row>
    <row r="36" ht="42" customHeight="1">
      <c r="A36" s="21" t="inlineStr">
        <is>
          <t>PE1</t>
        </is>
      </c>
      <c r="B36" s="22" t="inlineStr">
        <is>
          <t>As a parent, I want to register to manage my grade 2–5 child.</t>
        </is>
      </c>
      <c r="C36" s="22" t="inlineStr">
        <is>
          <t>Create account → parent of a 2–5 child.</t>
        </is>
      </c>
      <c r="D36" s="22" t="inlineStr">
        <is>
          <t>Parent account created.</t>
        </is>
      </c>
      <c r="E36" s="23" t="n"/>
      <c r="F36" s="22" t="n"/>
      <c r="G36" s="23" t="n"/>
    </row>
    <row r="37" ht="42" customHeight="1">
      <c r="A37" s="21" t="inlineStr">
        <is>
          <t>PE2</t>
        </is>
      </c>
      <c r="B37" s="22" t="inlineStr">
        <is>
          <t>As an elementary parent, I want the right menu tabs.</t>
        </is>
      </c>
      <c r="C37" s="22" t="inlineStr">
        <is>
          <t>Look at the left menu.</t>
        </is>
      </c>
      <c r="D37" s="22" t="inlineStr">
        <is>
          <t>Dashboard and Find Opportunities (Help in footer).</t>
        </is>
      </c>
      <c r="E37" s="23" t="n"/>
      <c r="F37" s="22" t="n"/>
      <c r="G37" s="23" t="n"/>
    </row>
    <row r="38" ht="42" customHeight="1">
      <c r="A38" s="21" t="inlineStr">
        <is>
          <t>PE3</t>
        </is>
      </c>
      <c r="B38" s="22" t="inlineStr">
        <is>
          <t>As a parent, I want to add a managed child (2–5).</t>
        </is>
      </c>
      <c r="C38" s="22" t="inlineStr">
        <is>
          <t>Add child with name and grade (join code if required).</t>
        </is>
      </c>
      <c r="D38" s="22" t="inlineStr">
        <is>
          <t>Child added; no separate login.</t>
        </is>
      </c>
      <c r="E38" s="23" t="n"/>
      <c r="F38" s="22" t="n"/>
      <c r="G38" s="23" t="n"/>
    </row>
    <row r="39" ht="42" customHeight="1">
      <c r="A39" s="21" t="inlineStr">
        <is>
          <t>PE4</t>
        </is>
      </c>
      <c r="B39" s="22" t="inlineStr">
        <is>
          <t>As a parent with several kids, I want to switch child.</t>
        </is>
      </c>
      <c r="C39" s="22" t="inlineStr">
        <is>
          <t>Use the child picker.</t>
        </is>
      </c>
      <c r="D39" s="22" t="inlineStr">
        <is>
          <t>Selected child's context is used.</t>
        </is>
      </c>
      <c r="E39" s="23" t="n"/>
      <c r="F39" s="22" t="n"/>
      <c r="G39" s="23" t="n"/>
    </row>
    <row r="40" ht="42" customHeight="1">
      <c r="A40" s="21" t="inlineStr">
        <is>
          <t>PE5</t>
        </is>
      </c>
      <c r="B40" s="22" t="inlineStr">
        <is>
          <t>As a parent, I want to sign my child up.</t>
        </is>
      </c>
      <c r="C40" s="22" t="inlineStr">
        <is>
          <t>Find Opportunities → pick child → open event → sign up.</t>
        </is>
      </c>
      <c r="D40" s="22" t="inlineStr">
        <is>
          <t>Child registered; appears on dashboard with calendar.</t>
        </is>
      </c>
      <c r="E40" s="23" t="n"/>
      <c r="F40" s="22" t="n"/>
      <c r="G40" s="23" t="n"/>
    </row>
    <row r="41" ht="42" customHeight="1">
      <c r="A41" s="21" t="inlineStr">
        <is>
          <t>PE6</t>
        </is>
      </c>
      <c r="B41" s="22" t="inlineStr">
        <is>
          <t>As a parent, child sign-up respects grade/org limits.</t>
        </is>
      </c>
      <c r="C41" s="22" t="inlineStr">
        <is>
          <t>Try an ineligible event.</t>
        </is>
      </c>
      <c r="D41" s="22" t="inlineStr">
        <is>
          <t>Hidden or blocked with a message.</t>
        </is>
      </c>
      <c r="E41" s="23" t="n"/>
      <c r="F41" s="22" t="n"/>
      <c r="G41" s="23" t="n"/>
    </row>
    <row r="42" ht="42" customHeight="1">
      <c r="A42" s="21" t="inlineStr">
        <is>
          <t>PE7</t>
        </is>
      </c>
      <c r="B42" s="22" t="inlineStr">
        <is>
          <t>As a parent, I want to see my child's schedule.</t>
        </is>
      </c>
      <c r="C42" s="22" t="inlineStr">
        <is>
          <t>Open the dashboard.</t>
        </is>
      </c>
      <c r="D42" s="22" t="inlineStr">
        <is>
          <t>Child's upcoming events with add-to-calendar; new sign-ups flagged.</t>
        </is>
      </c>
      <c r="E42" s="23" t="n"/>
      <c r="F42" s="22" t="n"/>
      <c r="G42" s="23" t="n"/>
    </row>
    <row r="43" ht="42" customHeight="1">
      <c r="A43" s="21" t="inlineStr">
        <is>
          <t>PE8</t>
        </is>
      </c>
      <c r="B43" s="22" t="inlineStr">
        <is>
          <t>As a parent, I want to invite a co-guardian.</t>
        </is>
      </c>
      <c r="C43" s="22" t="inlineStr">
        <is>
          <t>Invite a co-guardian by email.</t>
        </is>
      </c>
      <c r="D43" s="22" t="inlineStr">
        <is>
          <t>Invite email sent; on registering with that email they share access.</t>
        </is>
      </c>
      <c r="E43" s="23" t="n"/>
      <c r="F43" s="22" t="n"/>
      <c r="G43" s="23" t="n"/>
    </row>
    <row r="44" ht="42" customHeight="1">
      <c r="A44" s="21" t="inlineStr">
        <is>
          <t>PE9</t>
        </is>
      </c>
      <c r="B44" s="22" t="inlineStr">
        <is>
          <t>As a parent, I want notice when my child signs up.</t>
        </is>
      </c>
      <c r="C44" s="22" t="inlineStr">
        <is>
          <t>Sign a child up (or have the other guardian do it).</t>
        </is>
      </c>
      <c r="D44" s="22" t="inlineStr">
        <is>
          <t>A notification/confirmation is produced.</t>
        </is>
      </c>
      <c r="E44" s="23" t="n"/>
      <c r="F44" s="22" t="n"/>
      <c r="G44" s="23" t="n"/>
    </row>
    <row r="45" ht="42" customHeight="1">
      <c r="A45" s="21" t="inlineStr">
        <is>
          <t>PE10</t>
        </is>
      </c>
      <c r="B45" s="22" t="inlineStr">
        <is>
          <t>As a parent, I want to submit my child's hours after an event (child has no login).</t>
        </is>
      </c>
      <c r="C45" s="22" t="inlineStr">
        <is>
          <t>Dashboard → the child's 'Submit hours (past events)' → enter hours → Submit.</t>
        </is>
      </c>
      <c r="D45" s="22" t="inlineStr">
        <is>
          <t>Hours go to the supervisor for approval; status shows 'Waiting for review'.</t>
        </is>
      </c>
      <c r="E45" s="23" t="n"/>
      <c r="F45" s="22" t="n"/>
      <c r="G45" s="23" t="n"/>
    </row>
    <row r="46" ht="42" customHeight="1">
      <c r="A46" s="21" t="inlineStr">
        <is>
          <t>PE11</t>
        </is>
      </c>
      <c r="B46" s="22" t="inlineStr">
        <is>
          <t>As a parent, I want to resubmit my child's rejected hours.</t>
        </is>
      </c>
      <c r="C46" s="22" t="inlineStr">
        <is>
          <t>On a rejected past event, enter corrected hours → Resubmit.</t>
        </is>
      </c>
      <c r="D46" s="22" t="inlineStr">
        <is>
          <t>Returns to 'Waiting for review'.</t>
        </is>
      </c>
      <c r="E46" s="23" t="n"/>
      <c r="F46" s="22" t="n"/>
      <c r="G46" s="23" t="n"/>
    </row>
    <row r="47" ht="42" customHeight="1">
      <c r="A47" s="21" t="inlineStr">
        <is>
          <t>PE12</t>
        </is>
      </c>
      <c r="B47" s="22" t="inlineStr">
        <is>
          <t>As a parent, I want to see each past event's hours status for my child.</t>
        </is>
      </c>
      <c r="C47" s="22" t="inlineStr">
        <is>
          <t>Look at the child's past events list.</t>
        </is>
      </c>
      <c r="D47" s="22" t="inlineStr">
        <is>
          <t>Each shows Approved / Waiting / Rejected as appropriate.</t>
        </is>
      </c>
      <c r="E47" s="23" t="n"/>
      <c r="F47" s="22" t="n"/>
      <c r="G47" s="23" t="n"/>
    </row>
    <row r="48" ht="42" customHeight="1">
      <c r="A48" s="21" t="inlineStr">
        <is>
          <t>PE13</t>
        </is>
      </c>
      <c r="B48" s="22" t="inlineStr">
        <is>
          <t>As a parent, all core participant actions are available to me for my child.</t>
        </is>
      </c>
      <c r="C48" s="22" t="inlineStr">
        <is>
          <t>Confirm: browse, sign up, withdraw, add-to-calendar, submit hours, view progress toward medals.</t>
        </is>
      </c>
      <c r="D48" s="22" t="inlineStr">
        <is>
          <t>All participant-style actions work on the child's behalf (the child never logs in).</t>
        </is>
      </c>
      <c r="E48" s="23" t="n"/>
      <c r="F48" s="22" t="n"/>
      <c r="G48" s="23" t="n"/>
    </row>
    <row r="49" ht="42" customHeight="1">
      <c r="A49" s="21" t="inlineStr">
        <is>
          <t>PE14</t>
        </is>
      </c>
      <c r="B49" s="22" t="inlineStr">
        <is>
          <t>As a parent, I want to log my child's outside/nonprofit volunteering.</t>
        </is>
      </c>
      <c r="C49" s="22" t="inlineStr">
        <is>
          <t>Child card → 'Outside hours' → fill activity, org, date, hours, supervisor → Submit.</t>
        </is>
      </c>
      <c r="D49" s="22" t="inlineStr">
        <is>
          <t>External hours submitted for the child and sent for supervisor approval (proof required over 5h).</t>
        </is>
      </c>
      <c r="E49" s="23" t="n"/>
      <c r="F49" s="22" t="n"/>
      <c r="G49" s="23" t="n"/>
    </row>
    <row r="50" ht="42" customHeight="1">
      <c r="A50" s="21" t="inlineStr">
        <is>
          <t>PE15</t>
        </is>
      </c>
      <c r="B50" s="22" t="inlineStr">
        <is>
          <t>As a parent, I want my child's verified service record.</t>
        </is>
      </c>
      <c r="C50" s="22" t="inlineStr">
        <is>
          <t>Child card → 'Service record'.</t>
        </is>
      </c>
      <c r="D50" s="22" t="inlineStr">
        <is>
          <t>The child's itemized record opens; Print / Save-as-PDF works.</t>
        </is>
      </c>
      <c r="E50" s="23" t="n"/>
      <c r="F50" s="22" t="n"/>
      <c r="G50" s="23" t="n"/>
    </row>
    <row r="51" ht="20" customHeight="1">
      <c r="A51" s="19" t="inlineStr">
        <is>
          <t>Parent — viewer (grades 6–12 student)</t>
        </is>
      </c>
      <c r="B51" s="20" t="n"/>
      <c r="C51" s="20" t="n"/>
      <c r="D51" s="20" t="n"/>
      <c r="E51" s="20" t="n"/>
      <c r="F51" s="20" t="n"/>
      <c r="G51" s="20" t="n"/>
    </row>
    <row r="52" ht="42" customHeight="1">
      <c r="A52" s="21" t="inlineStr">
        <is>
          <t>PV1</t>
        </is>
      </c>
      <c r="B52" s="22" t="inlineStr">
        <is>
          <t>As a parent of a 6–12 student, I want to register for view-only access.</t>
        </is>
      </c>
      <c r="C52" s="22" t="inlineStr">
        <is>
          <t>Create account → parent of a 6–12 student.</t>
        </is>
      </c>
      <c r="D52" s="22" t="inlineStr">
        <is>
          <t>Account created; no invite required to register.</t>
        </is>
      </c>
      <c r="E52" s="23" t="n"/>
      <c r="F52" s="22" t="n"/>
      <c r="G52" s="23" t="n"/>
    </row>
    <row r="53" ht="42" customHeight="1">
      <c r="A53" s="21" t="inlineStr">
        <is>
          <t>PV2</t>
        </is>
      </c>
      <c r="B53" s="22" t="inlineStr">
        <is>
          <t>As a viewer parent, my student links automatically by email.</t>
        </is>
      </c>
      <c r="C53" s="22" t="inlineStr">
        <is>
          <t>Have a student enter this exact email as their parent email (before or after you register).</t>
        </is>
      </c>
      <c r="D53" s="22" t="inlineStr">
        <is>
          <t>The student appears on your dashboard automatically; empty until then.</t>
        </is>
      </c>
      <c r="E53" s="23" t="n"/>
      <c r="F53" s="22" t="n"/>
      <c r="G53" s="23" t="n"/>
    </row>
    <row r="54" ht="42" customHeight="1">
      <c r="A54" s="21" t="inlineStr">
        <is>
          <t>PV3</t>
        </is>
      </c>
      <c r="B54" s="22" t="inlineStr">
        <is>
          <t>As a viewer parent, I want to see my student's schedule/progress.</t>
        </is>
      </c>
      <c r="C54" s="22" t="inlineStr">
        <is>
          <t>Open the dashboard.</t>
        </is>
      </c>
      <c r="D54" s="22" t="inlineStr">
        <is>
          <t>View-only schedule and progress.</t>
        </is>
      </c>
      <c r="E54" s="23" t="n"/>
      <c r="F54" s="22" t="n"/>
      <c r="G54" s="23" t="n"/>
    </row>
    <row r="55" ht="42" customHeight="1">
      <c r="A55" s="21" t="inlineStr">
        <is>
          <t>PV4</t>
        </is>
      </c>
      <c r="B55" s="22" t="inlineStr">
        <is>
          <t>As a viewer parent, I do NOT sign the student up.</t>
        </is>
      </c>
      <c r="C55" s="22" t="inlineStr">
        <is>
          <t>Look for a sign-up action.</t>
        </is>
      </c>
      <c r="D55" s="22" t="inlineStr">
        <is>
          <t>No sign-up on the student's behalf — the student self-serves.</t>
        </is>
      </c>
      <c r="E55" s="23" t="n"/>
      <c r="F55" s="22" t="n"/>
      <c r="G55" s="23" t="n"/>
    </row>
    <row r="56" ht="42" customHeight="1">
      <c r="A56" s="21" t="inlineStr">
        <is>
          <t>PV5</t>
        </is>
      </c>
      <c r="B56" s="22" t="inlineStr">
        <is>
          <t>As a viewer parent, I want to invite a co-guardian.</t>
        </is>
      </c>
      <c r="C56" s="22" t="inlineStr">
        <is>
          <t>Invite a co-guardian by email.</t>
        </is>
      </c>
      <c r="D56" s="22" t="inlineStr">
        <is>
          <t>Invite email sent; shared access on registration.</t>
        </is>
      </c>
      <c r="E56" s="23" t="n"/>
      <c r="F56" s="22" t="n"/>
      <c r="G56" s="23" t="n"/>
    </row>
    <row r="57" ht="20" customHeight="1">
      <c r="A57" s="19" t="inlineStr">
        <is>
          <t>Supervisor (created by an Admin)</t>
        </is>
      </c>
      <c r="B57" s="20" t="n"/>
      <c r="C57" s="20" t="n"/>
      <c r="D57" s="20" t="n"/>
      <c r="E57" s="20" t="n"/>
      <c r="F57" s="20" t="n"/>
      <c r="G57" s="20" t="n"/>
    </row>
    <row r="58" ht="42" customHeight="1">
      <c r="A58" s="21" t="inlineStr">
        <is>
          <t>SV1</t>
        </is>
      </c>
      <c r="B58" s="22" t="inlineStr">
        <is>
          <t>As the program, a supervisor cannot self-register.</t>
        </is>
      </c>
      <c r="C58" s="22" t="inlineStr">
        <is>
          <t>Review the sign-up options.</t>
        </is>
      </c>
      <c r="D58" s="22" t="inlineStr">
        <is>
          <t>No supervisor option exists on registration.</t>
        </is>
      </c>
      <c r="E58" s="23" t="n"/>
      <c r="F58" s="22" t="n"/>
      <c r="G58" s="23" t="n"/>
    </row>
    <row r="59" ht="42" customHeight="1">
      <c r="A59" s="21" t="inlineStr">
        <is>
          <t>SV2</t>
        </is>
      </c>
      <c r="B59" s="22" t="inlineStr">
        <is>
          <t>As a new supervisor, I get an invite to set my password.</t>
        </is>
      </c>
      <c r="C59" s="22" t="inlineStr">
        <is>
          <t>Have an Admin create your account; open the invite email; set password; sign in.</t>
        </is>
      </c>
      <c r="D59" s="22" t="inlineStr">
        <is>
          <t>Invite email arrives with a working set-password link; you can sign in.</t>
        </is>
      </c>
      <c r="E59" s="23" t="n"/>
      <c r="F59" s="22" t="n"/>
      <c r="G59" s="23" t="n"/>
    </row>
    <row r="60" ht="42" customHeight="1">
      <c r="A60" s="21" t="inlineStr">
        <is>
          <t>SV3</t>
        </is>
      </c>
      <c r="B60" s="22" t="inlineStr">
        <is>
          <t>As a supervisor, I want the correct 7 left-menu tabs.</t>
        </is>
      </c>
      <c r="C60" s="22" t="inlineStr">
        <is>
          <t>Look at the left menu.</t>
        </is>
      </c>
      <c r="D60" s="22" t="inlineStr">
        <is>
          <t>Dashboard, Pending Reviews, Reviewed History, My Events, All Opportunities, My Hours, Help.</t>
        </is>
      </c>
      <c r="E60" s="23" t="n"/>
      <c r="F60" s="22" t="n"/>
      <c r="G60" s="23" t="n"/>
    </row>
    <row r="61" ht="42" customHeight="1">
      <c r="A61" s="21" t="inlineStr">
        <is>
          <t>SV4</t>
        </is>
      </c>
      <c r="B61" s="22" t="inlineStr">
        <is>
          <t>As a supervisor, I want a dashboard.</t>
        </is>
      </c>
      <c r="C61" s="22" t="inlineStr">
        <is>
          <t>Open the dashboard.</t>
        </is>
      </c>
      <c r="D61" s="22" t="inlineStr">
        <is>
          <t>Review queue, approved/rejected counts, registrations, hours, upcoming events + Roster links.</t>
        </is>
      </c>
      <c r="E61" s="23" t="n"/>
      <c r="F61" s="22" t="n"/>
      <c r="G61" s="23" t="n"/>
    </row>
    <row r="62" ht="42" customHeight="1">
      <c r="A62" s="21" t="inlineStr">
        <is>
          <t>SV5</t>
        </is>
      </c>
      <c r="B62" s="22" t="inlineStr">
        <is>
          <t>As a supervisor, I want to approve hours.</t>
        </is>
      </c>
      <c r="C62" s="22" t="inlineStr">
        <is>
          <t>Pending Reviews → open → Approve.</t>
        </is>
      </c>
      <c r="D62" s="22" t="inlineStr">
        <is>
          <t>Approved; moves to Reviewed History; participant total updates; email sent.</t>
        </is>
      </c>
      <c r="E62" s="23" t="n"/>
      <c r="F62" s="22" t="n"/>
      <c r="G62" s="23" t="n"/>
    </row>
    <row r="63" ht="42" customHeight="1">
      <c r="A63" s="21" t="inlineStr">
        <is>
          <t>SV6</t>
        </is>
      </c>
      <c r="B63" s="22" t="inlineStr">
        <is>
          <t>As a supervisor, I want to reject hours with a reason.</t>
        </is>
      </c>
      <c r="C63" s="22" t="inlineStr">
        <is>
          <t>Reject without a reason, then with one.</t>
        </is>
      </c>
      <c r="D63" s="22" t="inlineStr">
        <is>
          <t>Blocked until a reason is given; then rejected and the participant notified.</t>
        </is>
      </c>
      <c r="E63" s="23" t="n"/>
      <c r="F63" s="22" t="n"/>
      <c r="G63" s="23" t="n"/>
    </row>
    <row r="64" ht="42" customHeight="1">
      <c r="A64" s="21" t="inlineStr">
        <is>
          <t>SV7</t>
        </is>
      </c>
      <c r="B64" s="22" t="inlineStr">
        <is>
          <t>As a supervisor, I want to review external submissions.</t>
        </is>
      </c>
      <c r="C64" s="22" t="inlineStr">
        <is>
          <t>Pending Reviews → external tab → approve/reject.</t>
        </is>
      </c>
      <c r="D64" s="22" t="inlineStr">
        <is>
          <t>External items reviewable, including any proof.</t>
        </is>
      </c>
      <c r="E64" s="23" t="n"/>
      <c r="F64" s="22" t="n"/>
      <c r="G64" s="23" t="n"/>
    </row>
    <row r="65" ht="42" customHeight="1">
      <c r="A65" s="21" t="inlineStr">
        <is>
          <t>SV8</t>
        </is>
      </c>
      <c r="B65" s="22" t="inlineStr">
        <is>
          <t>As a supervisor, I want to create an event.</t>
        </is>
      </c>
      <c r="C65" s="22" t="inlineStr">
        <is>
          <t>New Event → title, description, slot, address, date, times, capacity, grade limits → save.</t>
        </is>
      </c>
      <c r="D65" s="22" t="inlineStr">
        <is>
          <t>Credit auto-calculated from times; event created in My Events.</t>
        </is>
      </c>
      <c r="E65" s="23" t="n"/>
      <c r="F65" s="22" t="n"/>
      <c r="G65" s="23" t="n"/>
    </row>
    <row r="66" ht="42" customHeight="1">
      <c r="A66" s="21" t="inlineStr">
        <is>
          <t>SV9</t>
        </is>
      </c>
      <c r="B66" s="22" t="inlineStr">
        <is>
          <t>As a supervisor, I want to edit an event.</t>
        </is>
      </c>
      <c r="C66" s="22" t="inlineStr">
        <is>
          <t>My Events → edit → save.</t>
        </is>
      </c>
      <c r="D66" s="22" t="inlineStr">
        <is>
          <t>Changes persist and show to participants.</t>
        </is>
      </c>
      <c r="E66" s="23" t="n"/>
      <c r="F66" s="22" t="n"/>
      <c r="G66" s="23" t="n"/>
    </row>
    <row r="67" ht="42" customHeight="1">
      <c r="A67" s="21" t="inlineStr">
        <is>
          <t>SV10</t>
        </is>
      </c>
      <c r="B67" s="22" t="inlineStr">
        <is>
          <t>As a supervisor, I want to delete an event with no approved hours.</t>
        </is>
      </c>
      <c r="C67" s="22" t="inlineStr">
        <is>
          <t>Delete such an event → confirm.</t>
        </is>
      </c>
      <c r="D67" s="22" t="inlineStr">
        <is>
          <t>Event deleted.</t>
        </is>
      </c>
      <c r="E67" s="23" t="n"/>
      <c r="F67" s="22" t="n"/>
      <c r="G67" s="23" t="n"/>
    </row>
    <row r="68" ht="42" customHeight="1">
      <c r="A68" s="21" t="inlineStr">
        <is>
          <t>SV11</t>
        </is>
      </c>
      <c r="B68" s="22" t="inlineStr">
        <is>
          <t>As a supervisor, deleting an event with approved hours is blocked.</t>
        </is>
      </c>
      <c r="C68" s="22" t="inlineStr">
        <is>
          <t>Try to delete an event that has approved hours.</t>
        </is>
      </c>
      <c r="D68" s="22" t="inlineStr">
        <is>
          <t>Blocked with a message that approved hours must be preserved.</t>
        </is>
      </c>
      <c r="E68" s="23" t="n"/>
      <c r="F68" s="22" t="n"/>
      <c r="G68" s="23" t="n"/>
    </row>
    <row r="69" ht="42" customHeight="1">
      <c r="A69" s="21" t="inlineStr">
        <is>
          <t>SV12</t>
        </is>
      </c>
      <c r="B69" s="22" t="inlineStr">
        <is>
          <t>As a supervisor, I want to see who signed up.</t>
        </is>
      </c>
      <c r="C69" s="22" t="inlineStr">
        <is>
          <t>Open the event Roster.</t>
        </is>
      </c>
      <c r="D69" s="22" t="inlineStr">
        <is>
          <t>Registrants listed with grade and status.</t>
        </is>
      </c>
      <c r="E69" s="23" t="n"/>
      <c r="F69" s="22" t="n"/>
      <c r="G69" s="23" t="n"/>
    </row>
    <row r="70" ht="42" customHeight="1">
      <c r="A70" s="21" t="inlineStr">
        <is>
          <t>SV13</t>
        </is>
      </c>
      <c r="B70" s="22" t="inlineStr">
        <is>
          <t>As a supervisor, I want to check people in / mark no-show.</t>
        </is>
      </c>
      <c r="C70" s="22" t="inlineStr">
        <is>
          <t>On the roster, Check in and Mark no-show.</t>
        </is>
      </c>
      <c r="D70" s="22" t="inlineStr">
        <is>
          <t>Status updates and persists.</t>
        </is>
      </c>
      <c r="E70" s="23" t="n"/>
      <c r="F70" s="22" t="n"/>
      <c r="G70" s="23" t="n"/>
    </row>
    <row r="71" ht="42" customHeight="1">
      <c r="A71" s="21" t="inlineStr">
        <is>
          <t>SV14</t>
        </is>
      </c>
      <c r="B71" s="22" t="inlineStr">
        <is>
          <t>As a supervisor, I want to message everyone signed up.</t>
        </is>
      </c>
      <c r="C71" s="22" t="inlineStr">
        <is>
          <t>Roster → Message attendees → subject+message → send (include guardians on).</t>
        </is>
      </c>
      <c r="D71" s="22" t="inlineStr">
        <is>
          <t>Each registrant (and guardians) emailed individually; recipient count shown.</t>
        </is>
      </c>
      <c r="E71" s="23" t="n"/>
      <c r="F71" s="22" t="n"/>
      <c r="G71" s="23" t="n"/>
    </row>
    <row r="72" ht="42" customHeight="1">
      <c r="A72" s="21" t="inlineStr">
        <is>
          <t>SV15</t>
        </is>
      </c>
      <c r="B72" s="22" t="inlineStr">
        <is>
          <t>As a supervisor, I want a history of what I reviewed.</t>
        </is>
      </c>
      <c r="C72" s="22" t="inlineStr">
        <is>
          <t>Open Reviewed History.</t>
        </is>
      </c>
      <c r="D72" s="22" t="inlineStr">
        <is>
          <t>Every approved/rejected item with dates and volunteers.</t>
        </is>
      </c>
      <c r="E72" s="23" t="n"/>
      <c r="F72" s="22" t="n"/>
      <c r="G72" s="23" t="n"/>
    </row>
    <row r="73" ht="42" customHeight="1">
      <c r="A73" s="21" t="inlineStr">
        <is>
          <t>SV16</t>
        </is>
      </c>
      <c r="B73" s="22" t="inlineStr">
        <is>
          <t>As a supervisor, I want to browse all opportunities view-only.</t>
        </is>
      </c>
      <c r="C73" s="22" t="inlineStr">
        <is>
          <t>All Opportunities → search / upcoming-past.</t>
        </is>
      </c>
      <c r="D73" s="22" t="inlineStr">
        <is>
          <t>Every event listed read-only; can't edit others' events.</t>
        </is>
      </c>
      <c r="E73" s="23" t="n"/>
      <c r="F73" s="22" t="n"/>
      <c r="G73" s="23" t="n"/>
    </row>
    <row r="74" ht="42" customHeight="1">
      <c r="A74" s="21" t="inlineStr">
        <is>
          <t>SV17</t>
        </is>
      </c>
      <c r="B74" s="22" t="inlineStr">
        <is>
          <t>As a supervisor, I want to log my own adult hours.</t>
        </is>
      </c>
      <c r="C74" s="22" t="inlineStr">
        <is>
          <t>My Hours → log an activity, date, hours → save.</t>
        </is>
      </c>
      <c r="D74" s="22" t="inlineStr">
        <is>
          <t>Recorded instantly with a running total; clearly NOT part of the student competition.</t>
        </is>
      </c>
      <c r="E74" s="23" t="n"/>
      <c r="F74" s="22" t="n"/>
      <c r="G74" s="23" t="n"/>
    </row>
    <row r="75" ht="42" customHeight="1">
      <c r="A75" s="21" t="inlineStr">
        <is>
          <t>SV18</t>
        </is>
      </c>
      <c r="B75" s="22" t="inlineStr">
        <is>
          <t>As a supervisor, I want to delete an adult-hours entry.</t>
        </is>
      </c>
      <c r="C75" s="22" t="inlineStr">
        <is>
          <t>My Hours → delete an entry → confirm.</t>
        </is>
      </c>
      <c r="D75" s="22" t="inlineStr">
        <is>
          <t>Removed; total updates.</t>
        </is>
      </c>
      <c r="E75" s="23" t="n"/>
      <c r="F75" s="22" t="n"/>
      <c r="G75" s="23" t="n"/>
    </row>
    <row r="76" ht="42" customHeight="1">
      <c r="A76" s="21" t="inlineStr">
        <is>
          <t>SV19</t>
        </is>
      </c>
      <c r="B76" s="22" t="inlineStr">
        <is>
          <t>As a supervisor, I must NOT access user or org management.</t>
        </is>
      </c>
      <c r="C76" s="22" t="inlineStr">
        <is>
          <t>Look for Users / Organizations in the menu.</t>
        </is>
      </c>
      <c r="D76" s="22" t="inlineStr">
        <is>
          <t>Those tabs are absent; direct URLs are blocked.</t>
        </is>
      </c>
      <c r="E76" s="23" t="n"/>
      <c r="F76" s="22" t="n"/>
      <c r="G76" s="23" t="n"/>
    </row>
    <row r="77" ht="20" customHeight="1">
      <c r="A77" s="19" t="inlineStr">
        <is>
          <t>Admin (org-scoped)</t>
        </is>
      </c>
      <c r="B77" s="20" t="n"/>
      <c r="C77" s="20" t="n"/>
      <c r="D77" s="20" t="n"/>
      <c r="E77" s="20" t="n"/>
      <c r="F77" s="20" t="n"/>
      <c r="G77" s="20" t="n"/>
    </row>
    <row r="78" ht="42" customHeight="1">
      <c r="A78" s="21" t="inlineStr">
        <is>
          <t>AD1</t>
        </is>
      </c>
      <c r="B78" s="22" t="inlineStr">
        <is>
          <t>As an Admin, I want the correct menu tabs.</t>
        </is>
      </c>
      <c r="C78" s="22" t="inlineStr">
        <is>
          <t>Look at the left menu.</t>
        </is>
      </c>
      <c r="D78" s="22" t="inlineStr">
        <is>
          <t>Dashboard, Pending Reviews, Reviewed History, My Events, All Opportunities, Users, Organizations, My Hours, Help.</t>
        </is>
      </c>
      <c r="E78" s="23" t="n"/>
      <c r="F78" s="22" t="n"/>
      <c r="G78" s="23" t="n"/>
    </row>
    <row r="79" ht="42" customHeight="1">
      <c r="A79" s="21" t="inlineStr">
        <is>
          <t>AD2</t>
        </is>
      </c>
      <c r="B79" s="22" t="inlineStr">
        <is>
          <t>As an Admin, I can do everything a supervisor can.</t>
        </is>
      </c>
      <c r="C79" s="22" t="inlineStr">
        <is>
          <t>Spot-check: approve an item and create an event.</t>
        </is>
      </c>
      <c r="D79" s="22" t="inlineStr">
        <is>
          <t>Both work.</t>
        </is>
      </c>
      <c r="E79" s="23" t="n"/>
      <c r="F79" s="22" t="n"/>
      <c r="G79" s="23" t="n"/>
    </row>
    <row r="80" ht="42" customHeight="1">
      <c r="A80" s="21" t="inlineStr">
        <is>
          <t>AD3</t>
        </is>
      </c>
      <c r="B80" s="22" t="inlineStr">
        <is>
          <t>As an Admin, I only see my org's non-admin users.</t>
        </is>
      </c>
      <c r="C80" s="22" t="inlineStr">
        <is>
          <t>Open Users.</t>
        </is>
      </c>
      <c r="D80" s="22" t="inlineStr">
        <is>
          <t>Only participants/parents/supervisors in your org; no admins/super admins; no other orgs.</t>
        </is>
      </c>
      <c r="E80" s="23" t="n"/>
      <c r="F80" s="22" t="n"/>
      <c r="G80" s="23" t="n"/>
    </row>
    <row r="81" ht="42" customHeight="1">
      <c r="A81" s="21" t="inlineStr">
        <is>
          <t>AD4</t>
        </is>
      </c>
      <c r="B81" s="22" t="inlineStr">
        <is>
          <t>As an Admin, I want to add a supervisor.</t>
        </is>
      </c>
      <c r="C81" s="22" t="inlineStr">
        <is>
          <t>Users → Add user → Supervisor → save.</t>
        </is>
      </c>
      <c r="D81" s="22" t="inlineStr">
        <is>
          <t>Supervisor created, stamped to your org; invite email sent.</t>
        </is>
      </c>
      <c r="E81" s="23" t="n"/>
      <c r="F81" s="22" t="n"/>
      <c r="G81" s="23" t="n"/>
    </row>
    <row r="82" ht="42" customHeight="1">
      <c r="A82" s="21" t="inlineStr">
        <is>
          <t>AD5</t>
        </is>
      </c>
      <c r="B82" s="22" t="inlineStr">
        <is>
          <t>As an Admin, I want to create a participant as a fallback.</t>
        </is>
      </c>
      <c r="C82" s="22" t="inlineStr">
        <is>
          <t>Users → Add user → Participant → save.</t>
        </is>
      </c>
      <c r="D82" s="22" t="inlineStr">
        <is>
          <t>Participant created with a set-password invite (no silent password).</t>
        </is>
      </c>
      <c r="E82" s="23" t="n"/>
      <c r="F82" s="22" t="n"/>
      <c r="G82" s="23" t="n"/>
    </row>
    <row r="83" ht="42" customHeight="1">
      <c r="A83" s="21" t="inlineStr">
        <is>
          <t>AD6</t>
        </is>
      </c>
      <c r="B83" s="22" t="inlineStr">
        <is>
          <t>As an Admin, I want to grant participant hours.</t>
        </is>
      </c>
      <c r="C83" s="22" t="inlineStr">
        <is>
          <t>Open a participant in your org → Add hours.</t>
        </is>
      </c>
      <c r="D83" s="22" t="inlineStr">
        <is>
          <t>Hours auto-approved; count toward their total/medals.</t>
        </is>
      </c>
      <c r="E83" s="23" t="n"/>
      <c r="F83" s="22" t="n"/>
      <c r="G83" s="23" t="n"/>
    </row>
    <row r="84" ht="42" customHeight="1">
      <c r="A84" s="21" t="inlineStr">
        <is>
          <t>AD7</t>
        </is>
      </c>
      <c r="B84" s="22" t="inlineStr">
        <is>
          <t>As an Admin, I want a participant's service record.</t>
        </is>
      </c>
      <c r="C84" s="22" t="inlineStr">
        <is>
          <t>Users → Service record for a participant in your org.</t>
        </is>
      </c>
      <c r="D84" s="22" t="inlineStr">
        <is>
          <t>Record opens.</t>
        </is>
      </c>
      <c r="E84" s="23" t="n"/>
      <c r="F84" s="22" t="n"/>
      <c r="G84" s="23" t="n"/>
    </row>
    <row r="85" ht="42" customHeight="1">
      <c r="A85" s="21" t="inlineStr">
        <is>
          <t>AD8</t>
        </is>
      </c>
      <c r="B85" s="22" t="inlineStr">
        <is>
          <t>As an Admin, I want to edit/delete my org's users.</t>
        </is>
      </c>
      <c r="C85" s="22" t="inlineStr">
        <is>
          <t>Edit a name/phone; delete a test user.</t>
        </is>
      </c>
      <c r="D85" s="22" t="inlineStr">
        <is>
          <t>Changes apply within your org.</t>
        </is>
      </c>
      <c r="E85" s="23" t="n"/>
      <c r="F85" s="22" t="n"/>
      <c r="G85" s="23" t="n"/>
    </row>
    <row r="86" ht="42" customHeight="1">
      <c r="A86" s="21" t="inlineStr">
        <is>
          <t>AD9</t>
        </is>
      </c>
      <c r="B86" s="22" t="inlineStr">
        <is>
          <t>As an Admin, I must NOT act on users outside my org.</t>
        </is>
      </c>
      <c r="C86" s="22" t="inlineStr">
        <is>
          <t>Attempt to reach another org's user (e.g. direct URL).</t>
        </is>
      </c>
      <c r="D86" s="22" t="inlineStr">
        <is>
          <t>Blocked / not visible.</t>
        </is>
      </c>
      <c r="E86" s="23" t="n"/>
      <c r="F86" s="22" t="n"/>
      <c r="G86" s="23" t="n"/>
    </row>
    <row r="87" ht="42" customHeight="1">
      <c r="A87" s="21" t="inlineStr">
        <is>
          <t>AD10</t>
        </is>
      </c>
      <c r="B87" s="22" t="inlineStr">
        <is>
          <t>As an Admin, I cannot grant Admin access or manage admins.</t>
        </is>
      </c>
      <c r="C87" s="22" t="inlineStr">
        <is>
          <t>Look for the 'grant Admin access' action.</t>
        </is>
      </c>
      <c r="D87" s="22" t="inlineStr">
        <is>
          <t>No such button; attempts are blocked server-side.</t>
        </is>
      </c>
      <c r="E87" s="23" t="n"/>
      <c r="F87" s="22" t="n"/>
      <c r="G87" s="23" t="n"/>
    </row>
    <row r="88" ht="42" customHeight="1">
      <c r="A88" s="21" t="inlineStr">
        <is>
          <t>AD11</t>
        </is>
      </c>
      <c r="B88" s="22" t="inlineStr">
        <is>
          <t>As an Admin, I see and edit only my own organization.</t>
        </is>
      </c>
      <c r="C88" s="22" t="inlineStr">
        <is>
          <t>Open Organizations.</t>
        </is>
      </c>
      <c r="D88" s="22" t="inlineStr">
        <is>
          <t>Only your org shows; you can edit its settings.</t>
        </is>
      </c>
      <c r="E88" s="23" t="n"/>
      <c r="F88" s="22" t="n"/>
      <c r="G88" s="23" t="n"/>
    </row>
    <row r="89" ht="42" customHeight="1">
      <c r="A89" s="21" t="inlineStr">
        <is>
          <t>AD12</t>
        </is>
      </c>
      <c r="B89" s="22" t="inlineStr">
        <is>
          <t>As an Admin, I want to generate/rotate my org's join code.</t>
        </is>
      </c>
      <c r="C89" s="22" t="inlineStr">
        <is>
          <t>Organizations → set/generate a join code → save.</t>
        </is>
      </c>
      <c r="D89" s="22" t="inlineStr">
        <is>
          <t>Join code saved; usable at sign-up.</t>
        </is>
      </c>
      <c r="E89" s="23" t="n"/>
      <c r="F89" s="22" t="n"/>
      <c r="G89" s="23" t="n"/>
    </row>
    <row r="90" ht="42" customHeight="1">
      <c r="A90" s="21" t="inlineStr">
        <is>
          <t>AD13</t>
        </is>
      </c>
      <c r="B90" s="22" t="inlineStr">
        <is>
          <t>As an Admin, I cannot create organizations.</t>
        </is>
      </c>
      <c r="C90" s="22" t="inlineStr">
        <is>
          <t>Look for 'Add organization'.</t>
        </is>
      </c>
      <c r="D90" s="22" t="inlineStr">
        <is>
          <t>No Add button; creation blocked.</t>
        </is>
      </c>
      <c r="E90" s="23" t="n"/>
      <c r="F90" s="22" t="n"/>
      <c r="G90" s="23" t="n"/>
    </row>
    <row r="91" ht="42" customHeight="1">
      <c r="A91" s="21" t="inlineStr">
        <is>
          <t>AD14</t>
        </is>
      </c>
      <c r="B91" s="22" t="inlineStr">
        <is>
          <t>As an Admin, I cannot change the recycling cans total.</t>
        </is>
      </c>
      <c r="C91" s="22" t="inlineStr">
        <is>
          <t>Look for the cans/bin admin control.</t>
        </is>
      </c>
      <c r="D91" s="22" t="inlineStr">
        <is>
          <t>Not available (Super Admin only).</t>
        </is>
      </c>
      <c r="E91" s="23" t="n"/>
      <c r="F91" s="22" t="n"/>
      <c r="G91" s="23" t="n"/>
    </row>
    <row r="92" ht="20" customHeight="1">
      <c r="A92" s="19" t="inlineStr">
        <is>
          <t>Super Admin (global)</t>
        </is>
      </c>
      <c r="B92" s="20" t="n"/>
      <c r="C92" s="20" t="n"/>
      <c r="D92" s="20" t="n"/>
      <c r="E92" s="20" t="n"/>
      <c r="F92" s="20" t="n"/>
      <c r="G92" s="20" t="n"/>
    </row>
    <row r="93" ht="42" customHeight="1">
      <c r="A93" s="21" t="inlineStr">
        <is>
          <t>SA1</t>
        </is>
      </c>
      <c r="B93" s="22" t="inlineStr">
        <is>
          <t>As a Super Admin, I want the correct menu tabs.</t>
        </is>
      </c>
      <c r="C93" s="22" t="inlineStr">
        <is>
          <t>Look at the left menu.</t>
        </is>
      </c>
      <c r="D93" s="22" t="inlineStr">
        <is>
          <t>Dashboard, Reports, Users, Events, Organizations (Help in footer).</t>
        </is>
      </c>
      <c r="E93" s="23" t="n"/>
      <c r="F93" s="22" t="n"/>
      <c r="G93" s="23" t="n"/>
    </row>
    <row r="94" ht="42" customHeight="1">
      <c r="A94" s="21" t="inlineStr">
        <is>
          <t>SA2</t>
        </is>
      </c>
      <c r="B94" s="22" t="inlineStr">
        <is>
          <t>As a Super Admin, I can do everything an Admin can, across all orgs.</t>
        </is>
      </c>
      <c r="C94" s="22" t="inlineStr">
        <is>
          <t>Spot-check user + org actions on more than one org.</t>
        </is>
      </c>
      <c r="D94" s="22" t="inlineStr">
        <is>
          <t>All allowed regardless of org.</t>
        </is>
      </c>
      <c r="E94" s="23" t="n"/>
      <c r="F94" s="22" t="n"/>
      <c r="G94" s="23" t="n"/>
    </row>
    <row r="95" ht="42" customHeight="1">
      <c r="A95" s="21" t="inlineStr">
        <is>
          <t>SA3</t>
        </is>
      </c>
      <c r="B95" s="22" t="inlineStr">
        <is>
          <t>As a Super Admin, I want to create users incl. Supervisor and Super Admin.</t>
        </is>
      </c>
      <c r="C95" s="22" t="inlineStr">
        <is>
          <t>Users → Add user → each role.</t>
        </is>
      </c>
      <c r="D95" s="22" t="inlineStr">
        <is>
          <t>Participant/Supervisor/Super Admin options available; account created + invite email.</t>
        </is>
      </c>
      <c r="E95" s="23" t="n"/>
      <c r="F95" s="22" t="n"/>
      <c r="G95" s="23" t="n"/>
    </row>
    <row r="96" ht="42" customHeight="1">
      <c r="A96" s="21" t="inlineStr">
        <is>
          <t>SA4</t>
        </is>
      </c>
      <c r="B96" s="22" t="inlineStr">
        <is>
          <t>As a Super Admin, I want to grant/revoke Admin access.</t>
        </is>
      </c>
      <c r="C96" s="22" t="inlineStr">
        <is>
          <t>Open a user → grant Admin access → check org(s) → save; then uncheck all → save.</t>
        </is>
      </c>
      <c r="D96" s="22" t="inlineStr">
        <is>
          <t>Checking orgs makes an Admin; unchecking all reverts to participant.</t>
        </is>
      </c>
      <c r="E96" s="23" t="n"/>
      <c r="F96" s="22" t="n"/>
      <c r="G96" s="23" t="n"/>
    </row>
    <row r="97" ht="42" customHeight="1">
      <c r="A97" s="21" t="inlineStr">
        <is>
          <t>SA5</t>
        </is>
      </c>
      <c r="B97" s="22" t="inlineStr">
        <is>
          <t>As a Super Admin, I want to create organizations + join codes.</t>
        </is>
      </c>
      <c r="C97" s="22" t="inlineStr">
        <is>
          <t>Organizations → Add organization → set details + join code.</t>
        </is>
      </c>
      <c r="D97" s="22" t="inlineStr">
        <is>
          <t>Org created with its join code.</t>
        </is>
      </c>
      <c r="E97" s="23" t="n"/>
      <c r="F97" s="22" t="n"/>
      <c r="G97" s="23" t="n"/>
    </row>
    <row r="98" ht="42" customHeight="1">
      <c r="A98" s="21" t="inlineStr">
        <is>
          <t>SA6</t>
        </is>
      </c>
      <c r="B98" s="22" t="inlineStr">
        <is>
          <t>As a Super Admin, I want to find users by type.</t>
        </is>
      </c>
      <c r="C98" s="22" t="inlineStr">
        <is>
          <t>Users → role filter pills + search.</t>
        </is>
      </c>
      <c r="D98" s="22" t="inlineStr">
        <is>
          <t>Filter by role with counts; search by name/email across all orgs.</t>
        </is>
      </c>
      <c r="E98" s="23" t="n"/>
      <c r="F98" s="22" t="n"/>
      <c r="G98" s="23" t="n"/>
    </row>
    <row r="99" ht="42" customHeight="1">
      <c r="A99" s="21" t="inlineStr">
        <is>
          <t>SA7</t>
        </is>
      </c>
      <c r="B99" s="22" t="inlineStr">
        <is>
          <t>As a Super Admin, I want to search events.</t>
        </is>
      </c>
      <c r="C99" s="22" t="inlineStr">
        <is>
          <t>Events → search + date range; check supervisor/org per card.</t>
        </is>
      </c>
      <c r="D99" s="22" t="inlineStr">
        <is>
          <t>Filters work; each event shows supervisor and organization.</t>
        </is>
      </c>
      <c r="E99" s="23" t="n"/>
      <c r="F99" s="22" t="n"/>
      <c r="G99" s="23" t="n"/>
    </row>
    <row r="100" ht="42" customHeight="1">
      <c r="A100" s="21" t="inlineStr">
        <is>
          <t>SA8</t>
        </is>
      </c>
      <c r="B100" s="22" t="inlineStr">
        <is>
          <t>As a Super Admin, I want clear event-visibility labels.</t>
        </is>
      </c>
      <c r="C100" s="22" t="inlineStr">
        <is>
          <t>New Event → 'Who can see this'.</t>
        </is>
      </c>
      <c r="D100" s="22" t="inlineStr">
        <is>
          <t>'Open to all (community)' and 'Only &lt;org&gt; students' with helper text.</t>
        </is>
      </c>
      <c r="E100" s="23" t="n"/>
      <c r="F100" s="22" t="n"/>
      <c r="G100" s="23" t="n"/>
    </row>
    <row r="101" ht="42" customHeight="1">
      <c r="A101" s="21" t="inlineStr">
        <is>
          <t>SA9</t>
        </is>
      </c>
      <c r="B101" s="22" t="inlineStr">
        <is>
          <t>As a Super Admin, I want program-wide reports.</t>
        </is>
      </c>
      <c r="C101" s="22" t="inlineStr">
        <is>
          <t>Open Reports / Dashboard.</t>
        </is>
      </c>
      <c r="D101" s="22" t="inlineStr">
        <is>
          <t>Totals and charts across the whole program.</t>
        </is>
      </c>
      <c r="E101" s="23" t="n"/>
      <c r="F101" s="22" t="n"/>
      <c r="G101" s="23" t="n"/>
    </row>
    <row r="102" ht="42" customHeight="1">
      <c r="A102" s="21" t="inlineStr">
        <is>
          <t>SA10</t>
        </is>
      </c>
      <c r="B102" s="22" t="inlineStr">
        <is>
          <t>As a Super Admin, I want to verify email works.</t>
        </is>
      </c>
      <c r="C102" s="22" t="inlineStr">
        <is>
          <t>Dashboard → Send test email.</t>
        </is>
      </c>
      <c r="D102" s="22" t="inlineStr">
        <is>
          <t>Result shown (success or the exact failure reason).</t>
        </is>
      </c>
      <c r="E102" s="23" t="n"/>
      <c r="F102" s="22" t="n"/>
      <c r="G102" s="23" t="n"/>
    </row>
    <row r="103" ht="42" customHeight="1">
      <c r="A103" s="21" t="inlineStr">
        <is>
          <t>SA11</t>
        </is>
      </c>
      <c r="B103" s="22" t="inlineStr">
        <is>
          <t>As a Super Admin, I want to update the recycling cans total.</t>
        </is>
      </c>
      <c r="C103" s="22" t="inlineStr">
        <is>
          <t>Use the cans/bin admin control.</t>
        </is>
      </c>
      <c r="D103" s="22" t="inlineStr">
        <is>
          <t>Total updates; the ribbon reflects it.</t>
        </is>
      </c>
      <c r="E103" s="23" t="n"/>
      <c r="F103" s="22" t="n"/>
      <c r="G103" s="23" t="n"/>
    </row>
    <row r="104" ht="42" customHeight="1">
      <c r="A104" s="21" t="inlineStr">
        <is>
          <t>SA12</t>
        </is>
      </c>
      <c r="B104" s="22" t="inlineStr">
        <is>
          <t>As a Super Admin, I want hours + records for any user.</t>
        </is>
      </c>
      <c r="C104" s="22" t="inlineStr">
        <is>
          <t>Add manual hours / open service record for any participant.</t>
        </is>
      </c>
      <c r="D104" s="22" t="inlineStr">
        <is>
          <t>Works for any org.</t>
        </is>
      </c>
      <c r="E104" s="23" t="n"/>
      <c r="F104" s="22" t="n"/>
      <c r="G104" s="23" t="n"/>
    </row>
    <row r="105" ht="20" customHeight="1">
      <c r="A105" s="19" t="inlineStr">
        <is>
          <t>Cross-cutting</t>
        </is>
      </c>
      <c r="B105" s="20" t="n"/>
      <c r="C105" s="20" t="n"/>
      <c r="D105" s="20" t="n"/>
      <c r="E105" s="20" t="n"/>
      <c r="F105" s="20" t="n"/>
      <c r="G105" s="20" t="n"/>
    </row>
    <row r="106" ht="42" customHeight="1">
      <c r="A106" s="21" t="inlineStr">
        <is>
          <t>X1</t>
        </is>
      </c>
      <c r="B106" s="22" t="inlineStr">
        <is>
          <t>As a phone user, I want a usable mobile layout.</t>
        </is>
      </c>
      <c r="C106" s="22" t="inlineStr">
        <is>
          <t>Open at phone width; use the menu drawer.</t>
        </is>
      </c>
      <c r="D106" s="22" t="inlineStr">
        <is>
          <t>Layout adapts; drawer opens/closes; no horizontal scroll.</t>
        </is>
      </c>
      <c r="E106" s="23" t="n"/>
      <c r="F106" s="22" t="n"/>
      <c r="G106" s="23" t="n"/>
    </row>
    <row r="107" ht="42" customHeight="1">
      <c r="A107" s="21" t="inlineStr">
        <is>
          <t>X2</t>
        </is>
      </c>
      <c r="B107" s="22" t="inlineStr">
        <is>
          <t>As a visitor, I want the recycling ribbon on the login page.</t>
        </is>
      </c>
      <c r="C107" s="22" t="inlineStr">
        <is>
          <t>Open login signed out.</t>
        </is>
      </c>
      <c r="D107" s="22" t="inlineStr">
        <is>
          <t>Green ribbon shows on login.</t>
        </is>
      </c>
      <c r="E107" s="23" t="n"/>
      <c r="F107" s="22" t="n"/>
      <c r="G107" s="23" t="n"/>
    </row>
  </sheetData>
  <mergeCells count="9">
    <mergeCell ref="A1:G1"/>
    <mergeCell ref="A3:G3"/>
    <mergeCell ref="A77:G77"/>
    <mergeCell ref="A105:G105"/>
    <mergeCell ref="A35:G35"/>
    <mergeCell ref="A92:G92"/>
    <mergeCell ref="A57:G57"/>
    <mergeCell ref="A51:G51"/>
    <mergeCell ref="A10:G10"/>
  </mergeCells>
  <conditionalFormatting sqref="E4:E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11:E34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conditionalFormatting sqref="E36:E50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"Blocked"</formula>
    </cfRule>
  </conditionalFormatting>
  <conditionalFormatting sqref="E52:E56">
    <cfRule type="cellIs" priority="10" operator="equal" dxfId="0">
      <formula>"Pass"</formula>
    </cfRule>
    <cfRule type="cellIs" priority="11" operator="equal" dxfId="1">
      <formula>"Fail"</formula>
    </cfRule>
    <cfRule type="cellIs" priority="12" operator="equal" dxfId="2">
      <formula>"Blocked"</formula>
    </cfRule>
  </conditionalFormatting>
  <conditionalFormatting sqref="E58:E76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"Blocked"</formula>
    </cfRule>
  </conditionalFormatting>
  <conditionalFormatting sqref="E78:E91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"Blocked"</formula>
    </cfRule>
  </conditionalFormatting>
  <conditionalFormatting sqref="E93:E104">
    <cfRule type="cellIs" priority="19" operator="equal" dxfId="0">
      <formula>"Pass"</formula>
    </cfRule>
    <cfRule type="cellIs" priority="20" operator="equal" dxfId="1">
      <formula>"Fail"</formula>
    </cfRule>
    <cfRule type="cellIs" priority="21" operator="equal" dxfId="2">
      <formula>"Blocked"</formula>
    </cfRule>
  </conditionalFormatting>
  <conditionalFormatting sqref="E106:E107">
    <cfRule type="cellIs" priority="22" operator="equal" dxfId="0">
      <formula>"Pass"</formula>
    </cfRule>
    <cfRule type="cellIs" priority="23" operator="equal" dxfId="1">
      <formula>"Fail"</formula>
    </cfRule>
    <cfRule type="cellIs" priority="24" operator="equal" dxfId="2">
      <formula>"Blocked"</formula>
    </cfRule>
  </conditionalFormatting>
  <dataValidations count="1">
    <dataValidation sqref="E4:E9 E11:E34 E36:E50 E52:E56 E58:E76 E78:E91 E93:E104 E106:E107" showDropDown="0" showInputMessage="0" showErrorMessage="0" allowBlank="1" type="list">
      <formula1>"Pass,Fail,Blocked,Not tested,N/A"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2026-09-18T22:31:53Z</dcterms:created>
  <dcterms:modified xsi:type="dcterms:W3CDTF">2026-09-18T22:31:53Z</dcterms:modified>
</cp:coreProperties>
</file>