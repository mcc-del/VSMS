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&amp; Testers" sheetId="1" state="visible" r:id="rId1"/>
    <sheet name="Summary" sheetId="2" state="visible" r:id="rId2"/>
    <sheet name="iOS" sheetId="3" state="visible" r:id="rId3"/>
    <sheet name="Android" sheetId="4" state="visible" r:id="rId4"/>
    <sheet name="Desktop Chrome" sheetId="5" state="visible" r:id="rId5"/>
    <sheet name="Desktop Firefox" sheetId="6" state="visible" r:id="rId6"/>
    <sheet name="Desktop Oth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A5F"/>
      <sz val="12"/>
    </font>
    <font>
      <name val="Arial"/>
      <color rgb="00333333"/>
      <sz val="10"/>
    </font>
    <font>
      <name val="Arial"/>
      <b val="1"/>
      <color rgb="00C0392B"/>
      <sz val="11"/>
    </font>
    <font>
      <name val="Arial"/>
      <i val="1"/>
      <color rgb="00555555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color rgb="00808080"/>
      <sz val="10"/>
    </font>
    <font>
      <name val="Arial"/>
      <b val="1"/>
      <color rgb="00FFFFFF"/>
      <sz val="14"/>
    </font>
    <font>
      <name val="Arial"/>
      <b val="1"/>
      <color rgb="001F3A5F"/>
      <sz val="10"/>
    </font>
    <font>
      <name val="Arial"/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6DA4"/>
      </patternFill>
    </fill>
    <fill>
      <patternFill patternType="solid">
        <fgColor rgb="003C6E9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indent="1"/>
    </xf>
    <xf numFmtId="0" fontId="12" fillId="2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indent="1"/>
    </xf>
    <xf numFmtId="0" fontId="8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 wrapText="1" indent="1"/>
    </xf>
    <xf numFmtId="0" fontId="10" fillId="2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left" vertical="center" wrapText="1" indent="1"/>
    </xf>
    <xf numFmtId="0" fontId="6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1" fillId="0" borderId="1" applyAlignment="1" pivotButton="0" quotePrefix="0" xfId="0">
      <alignment horizontal="left" vertical="top" indent="1"/>
    </xf>
    <xf numFmtId="0" fontId="8" fillId="0" borderId="1" applyAlignment="1" pivotButton="0" quotePrefix="0" xfId="0">
      <alignment horizontal="left" vertical="top" wrapText="1" indent="1"/>
    </xf>
    <xf numFmtId="0" fontId="8" fillId="0" borderId="1" applyAlignment="1" pivotButton="0" quotePrefix="0" xfId="0">
      <alignment horizontal="left" vertical="top" indent="1"/>
    </xf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7F6000"/>
        <sz val="10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8" customWidth="1" min="4" max="4"/>
    <col width="16" customWidth="1" min="5" max="5"/>
    <col width="12" customWidth="1" min="6" max="6"/>
  </cols>
  <sheetData>
    <row r="1" ht="34" customHeight="1">
      <c r="A1" s="1" t="inlineStr">
        <is>
          <t>MedinaCares Volunteer Service Awards — Tester Guide &amp; Assignment</t>
        </is>
      </c>
      <c r="B1" s="2" t="n"/>
      <c r="C1" s="2" t="n"/>
      <c r="D1" s="2" t="n"/>
      <c r="E1" s="2" t="n"/>
      <c r="F1" s="2" t="n"/>
    </row>
    <row r="3">
      <c r="A3" s="3" t="inlineStr">
        <is>
          <t>How to test</t>
        </is>
      </c>
    </row>
    <row r="4">
      <c r="A4" s="4" t="inlineStr">
        <is>
          <t>Thank you for testing MedinaCares! Please follow these steps:</t>
        </is>
      </c>
    </row>
    <row r="5">
      <c r="A5" s="4" t="inlineStr">
        <is>
          <t>1. Find your name in the Testers table below and note your assigned platform tab(s).</t>
        </is>
      </c>
    </row>
    <row r="6">
      <c r="A6" s="4" t="inlineStr">
        <is>
          <t>2. Open your tab (iOS, Android, Desktop Chrome, Desktop Firefox, or Desktop Other).</t>
        </is>
      </c>
    </row>
    <row r="7">
      <c r="A7" s="4" t="inlineStr">
        <is>
          <t>3. Cases are grouped by persona. Sign in with an account of that persona, then work top to bottom.</t>
        </is>
      </c>
    </row>
    <row r="8">
      <c r="A8" s="4" t="inlineStr">
        <is>
          <t>4. For each row read the User story, do the Steps, and compare to 'Expected behavior (what you should see)'.</t>
        </is>
      </c>
    </row>
    <row r="9">
      <c r="A9" s="4" t="inlineStr">
        <is>
          <t>5. In 'Result' pick Pass / Fail / Blocked / Not tested / N/A.</t>
        </is>
      </c>
    </row>
    <row r="10">
      <c r="A10" s="4" t="inlineStr">
        <is>
          <t xml:space="preserve">   Pass = worked as described.  Fail = did not.  Blocked = couldn't test (needed data/access).  N/A = not applicable.</t>
        </is>
      </c>
    </row>
    <row r="11">
      <c r="A11" s="4" t="inlineStr">
        <is>
          <t>6. Put details in 'Comments' — for any Fail, what happened + how to reproduce.</t>
        </is>
      </c>
    </row>
    <row r="12">
      <c r="A12" s="4" t="inlineStr">
        <is>
          <t>7. For a Fail, screenshot it into the shared folder named &lt;Test ID&gt;-&lt;your name&gt;.png (e.g. SV14-aisha.png) and note it in Comments.</t>
        </is>
      </c>
    </row>
    <row r="13">
      <c r="A13" s="4" t="inlineStr">
        <is>
          <t>8. Put your name in 'Tester' for rows you complete, and update your Status below.</t>
        </is>
      </c>
    </row>
    <row r="14">
      <c r="A14" s="4" t="inlineStr"/>
    </row>
    <row r="15">
      <c r="A15" s="4" t="inlineStr">
        <is>
          <t>Note: expected results are described in words rather than embedded screenshots (to keep the file light). Only attach screenshots for failures.</t>
        </is>
      </c>
    </row>
    <row r="16">
      <c r="A16" s="4" t="inlineStr">
        <is>
          <t>Staging URL &amp; test logins (one per persona): &lt;ADD BEFORE SENDING&gt;.</t>
        </is>
      </c>
    </row>
    <row r="17">
      <c r="A17" s="4" t="inlineStr">
        <is>
          <t>Questions: email mcc@medinaacademy.org.</t>
        </is>
      </c>
    </row>
    <row r="19">
      <c r="A19" s="5" t="inlineStr">
        <is>
          <t>Staging URL &amp; test logins</t>
        </is>
      </c>
    </row>
    <row r="20">
      <c r="A20" s="6" t="inlineStr">
        <is>
          <t>Staging URL:  &lt;PASTE YOUR STAGING URL HERE&gt;</t>
        </is>
      </c>
    </row>
    <row r="21">
      <c r="A21" s="7" t="inlineStr">
        <is>
          <t>Use the login for the persona your row(s) cover. Fill in the credentials before sending.</t>
        </is>
      </c>
    </row>
    <row r="22">
      <c r="A22" s="8" t="inlineStr">
        <is>
          <t>Persona</t>
        </is>
      </c>
      <c r="B22" s="8" t="inlineStr">
        <is>
          <t>Login email</t>
        </is>
      </c>
      <c r="C22" s="8" t="inlineStr">
        <is>
          <t>Password</t>
        </is>
      </c>
      <c r="D22" s="8" t="inlineStr">
        <is>
          <t>Notes</t>
        </is>
      </c>
    </row>
    <row r="23" ht="22" customHeight="1">
      <c r="A23" s="9" t="inlineStr">
        <is>
          <t>Participant (grades 6–12)</t>
        </is>
      </c>
      <c r="B23" s="10" t="inlineStr"/>
      <c r="C23" s="10" t="inlineStr"/>
      <c r="D23" s="11" t="inlineStr">
        <is>
          <t>Self-registers; can also make a fresh one via Sign up</t>
        </is>
      </c>
    </row>
    <row r="24" ht="22" customHeight="1">
      <c r="A24" s="9" t="inlineStr">
        <is>
          <t>Parent — elementary (2–5 child)</t>
        </is>
      </c>
      <c r="B24" s="10" t="inlineStr"/>
      <c r="C24" s="10" t="inlineStr"/>
      <c r="D24" s="11" t="inlineStr">
        <is>
          <t>Manages a child with no login</t>
        </is>
      </c>
    </row>
    <row r="25" ht="22" customHeight="1">
      <c r="A25" s="9" t="inlineStr">
        <is>
          <t>Parent — viewer (6–12 student)</t>
        </is>
      </c>
      <c r="B25" s="10" t="inlineStr"/>
      <c r="C25" s="10" t="inlineStr"/>
      <c r="D25" s="11" t="inlineStr">
        <is>
          <t>View-only; links by matching the student's parent email</t>
        </is>
      </c>
    </row>
    <row r="26" ht="22" customHeight="1">
      <c r="A26" s="9" t="inlineStr">
        <is>
          <t>Supervisor</t>
        </is>
      </c>
      <c r="B26" s="10" t="inlineStr"/>
      <c r="C26" s="10" t="inlineStr"/>
      <c r="D26" s="11" t="inlineStr">
        <is>
          <t>Created by an admin; reviews hours, runs events</t>
        </is>
      </c>
    </row>
    <row r="27" ht="22" customHeight="1">
      <c r="A27" s="9" t="inlineStr">
        <is>
          <t>Admin (single organization)</t>
        </is>
      </c>
      <c r="B27" s="10" t="inlineStr"/>
      <c r="C27" s="10" t="inlineStr"/>
      <c r="D27" s="11" t="inlineStr">
        <is>
          <t>Org-scoped: manages ONE org's users/events/join code</t>
        </is>
      </c>
    </row>
    <row r="28" ht="22" customHeight="1">
      <c r="A28" s="9" t="inlineStr">
        <is>
          <t>Super Admin (whole program)</t>
        </is>
      </c>
      <c r="B28" s="10" t="inlineStr"/>
      <c r="C28" s="10" t="inlineStr"/>
      <c r="D28" s="11" t="inlineStr">
        <is>
          <t>Global: all orgs, creates orgs, audit log, cans total</t>
        </is>
      </c>
    </row>
    <row r="30" ht="22" customHeight="1">
      <c r="A30" s="8" t="inlineStr">
        <is>
          <t>Tester name</t>
        </is>
      </c>
      <c r="B30" s="8" t="inlineStr">
        <is>
          <t>Device / OS</t>
        </is>
      </c>
      <c r="C30" s="8" t="inlineStr">
        <is>
          <t>Browser</t>
        </is>
      </c>
      <c r="D30" s="8" t="inlineStr">
        <is>
          <t>Assigned tab(s)</t>
        </is>
      </c>
      <c r="E30" s="8" t="inlineStr">
        <is>
          <t>Status</t>
        </is>
      </c>
    </row>
    <row r="31">
      <c r="A31" s="12" t="inlineStr">
        <is>
          <t>Aisha Khan (example)</t>
        </is>
      </c>
      <c r="B31" s="12" t="inlineStr">
        <is>
          <t>iPhone 14, iOS 17</t>
        </is>
      </c>
      <c r="C31" s="12" t="inlineStr">
        <is>
          <t>Safari</t>
        </is>
      </c>
      <c r="D31" s="12" t="inlineStr">
        <is>
          <t>iOS</t>
        </is>
      </c>
      <c r="E31" s="12" t="inlineStr">
        <is>
          <t>In progress</t>
        </is>
      </c>
    </row>
    <row r="32">
      <c r="A32" s="13" t="n"/>
      <c r="B32" s="13" t="n"/>
      <c r="C32" s="13" t="n"/>
      <c r="D32" s="13" t="n"/>
      <c r="E32" s="13" t="n"/>
    </row>
    <row r="33">
      <c r="A33" s="13" t="n"/>
      <c r="B33" s="13" t="n"/>
      <c r="C33" s="13" t="n"/>
      <c r="D33" s="13" t="n"/>
      <c r="E33" s="13" t="n"/>
    </row>
    <row r="34">
      <c r="A34" s="13" t="n"/>
      <c r="B34" s="13" t="n"/>
      <c r="C34" s="13" t="n"/>
      <c r="D34" s="13" t="n"/>
      <c r="E34" s="13" t="n"/>
    </row>
    <row r="35">
      <c r="A35" s="13" t="n"/>
      <c r="B35" s="13" t="n"/>
      <c r="C35" s="13" t="n"/>
      <c r="D35" s="13" t="n"/>
      <c r="E35" s="13" t="n"/>
    </row>
    <row r="36">
      <c r="A36" s="13" t="n"/>
      <c r="B36" s="13" t="n"/>
      <c r="C36" s="13" t="n"/>
      <c r="D36" s="13" t="n"/>
      <c r="E36" s="13" t="n"/>
    </row>
    <row r="37">
      <c r="A37" s="13" t="n"/>
      <c r="B37" s="13" t="n"/>
      <c r="C37" s="13" t="n"/>
      <c r="D37" s="13" t="n"/>
      <c r="E37" s="13" t="n"/>
    </row>
    <row r="38">
      <c r="A38" s="13" t="n"/>
      <c r="B38" s="13" t="n"/>
      <c r="C38" s="13" t="n"/>
      <c r="D38" s="13" t="n"/>
      <c r="E38" s="13" t="n"/>
    </row>
    <row r="39">
      <c r="A39" s="13" t="n"/>
      <c r="B39" s="13" t="n"/>
      <c r="C39" s="13" t="n"/>
      <c r="D39" s="13" t="n"/>
      <c r="E39" s="13" t="n"/>
    </row>
    <row r="40">
      <c r="A40" s="13" t="n"/>
      <c r="B40" s="13" t="n"/>
      <c r="C40" s="13" t="n"/>
      <c r="D40" s="13" t="n"/>
      <c r="E40" s="13" t="n"/>
    </row>
    <row r="41">
      <c r="A41" s="13" t="n"/>
      <c r="B41" s="13" t="n"/>
      <c r="C41" s="13" t="n"/>
      <c r="D41" s="13" t="n"/>
      <c r="E41" s="13" t="n"/>
    </row>
    <row r="42">
      <c r="A42" s="13" t="n"/>
      <c r="B42" s="13" t="n"/>
      <c r="C42" s="13" t="n"/>
      <c r="D42" s="13" t="n"/>
      <c r="E42" s="13" t="n"/>
    </row>
    <row r="43">
      <c r="A43" s="13" t="n"/>
      <c r="B43" s="13" t="n"/>
      <c r="C43" s="13" t="n"/>
      <c r="D43" s="13" t="n"/>
      <c r="E43" s="13" t="n"/>
    </row>
    <row r="44">
      <c r="A44" s="13" t="n"/>
      <c r="B44" s="13" t="n"/>
      <c r="C44" s="13" t="n"/>
      <c r="D44" s="13" t="n"/>
      <c r="E44" s="13" t="n"/>
    </row>
    <row r="45">
      <c r="A45" s="13" t="n"/>
      <c r="B45" s="13" t="n"/>
      <c r="C45" s="13" t="n"/>
      <c r="D45" s="13" t="n"/>
      <c r="E45" s="13" t="n"/>
    </row>
  </sheetData>
  <mergeCells count="19">
    <mergeCell ref="A16:F16"/>
    <mergeCell ref="A12:F12"/>
    <mergeCell ref="A3:F3"/>
    <mergeCell ref="A21:F21"/>
    <mergeCell ref="A14:F14"/>
    <mergeCell ref="A5:F5"/>
    <mergeCell ref="A8:F8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dataValidations count="1">
    <dataValidation sqref="E31:E45" showDropDown="0" showInputMessage="0" showErrorMessage="0" allowBlank="1" type="list">
      <formula1>"Not started,In progress,Complete"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0" customHeight="1">
      <c r="A1" s="14" t="inlineStr">
        <is>
          <t>Testing summary (live counts)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15" t="inlineStr">
        <is>
          <t>Counts update automatically as testers fill in each platform tab's Result column.</t>
        </is>
      </c>
    </row>
    <row r="4">
      <c r="A4" s="5" t="inlineStr">
        <is>
          <t>Overall by platform</t>
        </is>
      </c>
    </row>
    <row r="5">
      <c r="A5" s="16" t="inlineStr">
        <is>
          <t>Platform</t>
        </is>
      </c>
      <c r="B5" s="16" t="inlineStr">
        <is>
          <t>Total</t>
        </is>
      </c>
      <c r="C5" s="16" t="inlineStr">
        <is>
          <t>Pass</t>
        </is>
      </c>
      <c r="D5" s="16" t="inlineStr">
        <is>
          <t>Fail</t>
        </is>
      </c>
      <c r="E5" s="16" t="inlineStr">
        <is>
          <t>Blocked</t>
        </is>
      </c>
      <c r="F5" s="16" t="inlineStr">
        <is>
          <t>Not tested</t>
        </is>
      </c>
      <c r="G5" s="16" t="inlineStr">
        <is>
          <t>Untested (blank)</t>
        </is>
      </c>
      <c r="H5" s="16" t="inlineStr">
        <is>
          <t>% complete</t>
        </is>
      </c>
    </row>
    <row r="6">
      <c r="A6" s="17" t="inlineStr">
        <is>
          <t>iOS</t>
        </is>
      </c>
      <c r="B6" s="18" t="n">
        <v>117</v>
      </c>
      <c r="C6" s="19">
        <f>COUNTIF('iOS'!$E$3:$E$127,"Pass")</f>
        <v/>
      </c>
      <c r="D6" s="19">
        <f>COUNTIF('iOS'!$E$3:$E$127,"Fail")</f>
        <v/>
      </c>
      <c r="E6" s="19">
        <f>COUNTIF('iOS'!$E$3:$E$127,"Blocked")</f>
        <v/>
      </c>
      <c r="F6" s="19">
        <f>COUNTIF('iOS'!$E$3:$E$127,"Not tested")</f>
        <v/>
      </c>
      <c r="G6" s="19">
        <f>$B6-COUNTA('iOS'!$E$3:$E$127)</f>
        <v/>
      </c>
      <c r="H6" s="20">
        <f>IF($B6=0,0,(COUNTIF('iOS'!$E$3:$E$127,"Pass")+COUNTIF('iOS'!$E$3:$E$127,"Fail")+COUNTIF('iOS'!$E$3:$E$127,"Blocked")+COUNTIF('iOS'!$E$3:$E$127,"Not tested"))/$B6)</f>
        <v/>
      </c>
    </row>
    <row r="7">
      <c r="A7" s="17" t="inlineStr">
        <is>
          <t>Android</t>
        </is>
      </c>
      <c r="B7" s="18" t="n">
        <v>117</v>
      </c>
      <c r="C7" s="19">
        <f>COUNTIF('Android'!$E$3:$E$127,"Pass")</f>
        <v/>
      </c>
      <c r="D7" s="19">
        <f>COUNTIF('Android'!$E$3:$E$127,"Fail")</f>
        <v/>
      </c>
      <c r="E7" s="19">
        <f>COUNTIF('Android'!$E$3:$E$127,"Blocked")</f>
        <v/>
      </c>
      <c r="F7" s="19">
        <f>COUNTIF('Android'!$E$3:$E$127,"Not tested")</f>
        <v/>
      </c>
      <c r="G7" s="19">
        <f>$B7-COUNTA('Android'!$E$3:$E$127)</f>
        <v/>
      </c>
      <c r="H7" s="20">
        <f>IF($B7=0,0,(COUNTIF('Android'!$E$3:$E$127,"Pass")+COUNTIF('Android'!$E$3:$E$127,"Fail")+COUNTIF('Android'!$E$3:$E$127,"Blocked")+COUNTIF('Android'!$E$3:$E$127,"Not tested"))/$B7)</f>
        <v/>
      </c>
    </row>
    <row r="8">
      <c r="A8" s="17" t="inlineStr">
        <is>
          <t>Desktop Chrome</t>
        </is>
      </c>
      <c r="B8" s="18" t="n">
        <v>117</v>
      </c>
      <c r="C8" s="19">
        <f>COUNTIF('Desktop Chrome'!$E$3:$E$127,"Pass")</f>
        <v/>
      </c>
      <c r="D8" s="19">
        <f>COUNTIF('Desktop Chrome'!$E$3:$E$127,"Fail")</f>
        <v/>
      </c>
      <c r="E8" s="19">
        <f>COUNTIF('Desktop Chrome'!$E$3:$E$127,"Blocked")</f>
        <v/>
      </c>
      <c r="F8" s="19">
        <f>COUNTIF('Desktop Chrome'!$E$3:$E$127,"Not tested")</f>
        <v/>
      </c>
      <c r="G8" s="19">
        <f>$B8-COUNTA('Desktop Chrome'!$E$3:$E$127)</f>
        <v/>
      </c>
      <c r="H8" s="20">
        <f>IF($B8=0,0,(COUNTIF('Desktop Chrome'!$E$3:$E$127,"Pass")+COUNTIF('Desktop Chrome'!$E$3:$E$127,"Fail")+COUNTIF('Desktop Chrome'!$E$3:$E$127,"Blocked")+COUNTIF('Desktop Chrome'!$E$3:$E$127,"Not tested"))/$B8)</f>
        <v/>
      </c>
    </row>
    <row r="9">
      <c r="A9" s="17" t="inlineStr">
        <is>
          <t>Desktop Firefox</t>
        </is>
      </c>
      <c r="B9" s="18" t="n">
        <v>117</v>
      </c>
      <c r="C9" s="19">
        <f>COUNTIF('Desktop Firefox'!$E$3:$E$127,"Pass")</f>
        <v/>
      </c>
      <c r="D9" s="19">
        <f>COUNTIF('Desktop Firefox'!$E$3:$E$127,"Fail")</f>
        <v/>
      </c>
      <c r="E9" s="19">
        <f>COUNTIF('Desktop Firefox'!$E$3:$E$127,"Blocked")</f>
        <v/>
      </c>
      <c r="F9" s="19">
        <f>COUNTIF('Desktop Firefox'!$E$3:$E$127,"Not tested")</f>
        <v/>
      </c>
      <c r="G9" s="19">
        <f>$B9-COUNTA('Desktop Firefox'!$E$3:$E$127)</f>
        <v/>
      </c>
      <c r="H9" s="20">
        <f>IF($B9=0,0,(COUNTIF('Desktop Firefox'!$E$3:$E$127,"Pass")+COUNTIF('Desktop Firefox'!$E$3:$E$127,"Fail")+COUNTIF('Desktop Firefox'!$E$3:$E$127,"Blocked")+COUNTIF('Desktop Firefox'!$E$3:$E$127,"Not tested"))/$B9)</f>
        <v/>
      </c>
    </row>
    <row r="10">
      <c r="A10" s="17" t="inlineStr">
        <is>
          <t>Desktop Other</t>
        </is>
      </c>
      <c r="B10" s="18" t="n">
        <v>117</v>
      </c>
      <c r="C10" s="19">
        <f>COUNTIF('Desktop Other'!$E$3:$E$127,"Pass")</f>
        <v/>
      </c>
      <c r="D10" s="19">
        <f>COUNTIF('Desktop Other'!$E$3:$E$127,"Fail")</f>
        <v/>
      </c>
      <c r="E10" s="19">
        <f>COUNTIF('Desktop Other'!$E$3:$E$127,"Blocked")</f>
        <v/>
      </c>
      <c r="F10" s="19">
        <f>COUNTIF('Desktop Other'!$E$3:$E$127,"Not tested")</f>
        <v/>
      </c>
      <c r="G10" s="19">
        <f>$B10-COUNTA('Desktop Other'!$E$3:$E$127)</f>
        <v/>
      </c>
      <c r="H10" s="20">
        <f>IF($B10=0,0,(COUNTIF('Desktop Other'!$E$3:$E$127,"Pass")+COUNTIF('Desktop Other'!$E$3:$E$127,"Fail")+COUNTIF('Desktop Other'!$E$3:$E$127,"Blocked")+COUNTIF('Desktop Other'!$E$3:$E$127,"Not tested"))/$B10)</f>
        <v/>
      </c>
    </row>
    <row r="12">
      <c r="A12" s="5" t="inlineStr">
        <is>
          <t>Pass count by persona × platform</t>
        </is>
      </c>
    </row>
    <row r="13">
      <c r="A13" s="16" t="inlineStr">
        <is>
          <t>Persona group</t>
        </is>
      </c>
      <c r="B13" s="16" t="inlineStr">
        <is>
          <t>iOS</t>
        </is>
      </c>
      <c r="C13" s="16" t="inlineStr">
        <is>
          <t>Android</t>
        </is>
      </c>
      <c r="D13" s="16" t="inlineStr">
        <is>
          <t>Desktop Chrome</t>
        </is>
      </c>
      <c r="E13" s="16" t="inlineStr">
        <is>
          <t>Desktop Firefox</t>
        </is>
      </c>
      <c r="F13" s="16" t="inlineStr">
        <is>
          <t>Desktop Other</t>
        </is>
      </c>
      <c r="G13" s="16" t="inlineStr">
        <is>
          <t>Cases</t>
        </is>
      </c>
    </row>
    <row r="14">
      <c r="A14" s="21" t="inlineStr">
        <is>
          <t>Account &amp; access (all roles)</t>
        </is>
      </c>
      <c r="B14" s="18">
        <f>COUNTIF('iOS'!$E$4:$E$9,"Pass")</f>
        <v/>
      </c>
      <c r="C14" s="18">
        <f>COUNTIF('Android'!$E$4:$E$9,"Pass")</f>
        <v/>
      </c>
      <c r="D14" s="18">
        <f>COUNTIF('Desktop Chrome'!$E$4:$E$9,"Pass")</f>
        <v/>
      </c>
      <c r="E14" s="18">
        <f>COUNTIF('Desktop Firefox'!$E$4:$E$9,"Pass")</f>
        <v/>
      </c>
      <c r="F14" s="18">
        <f>COUNTIF('Desktop Other'!$E$4:$E$9,"Pass")</f>
        <v/>
      </c>
      <c r="G14" s="18" t="n">
        <v>6</v>
      </c>
    </row>
    <row r="15">
      <c r="A15" s="21" t="inlineStr">
        <is>
          <t>Participant (grades 6–12)</t>
        </is>
      </c>
      <c r="B15" s="18">
        <f>COUNTIF('iOS'!$E$11:$E$34,"Pass")</f>
        <v/>
      </c>
      <c r="C15" s="18">
        <f>COUNTIF('Android'!$E$11:$E$34,"Pass")</f>
        <v/>
      </c>
      <c r="D15" s="18">
        <f>COUNTIF('Desktop Chrome'!$E$11:$E$34,"Pass")</f>
        <v/>
      </c>
      <c r="E15" s="18">
        <f>COUNTIF('Desktop Firefox'!$E$11:$E$34,"Pass")</f>
        <v/>
      </c>
      <c r="F15" s="18">
        <f>COUNTIF('Desktop Other'!$E$11:$E$34,"Pass")</f>
        <v/>
      </c>
      <c r="G15" s="18" t="n">
        <v>24</v>
      </c>
    </row>
    <row r="16">
      <c r="A16" s="21" t="inlineStr">
        <is>
          <t>Parent — elementary (grades 2–5 child)</t>
        </is>
      </c>
      <c r="B16" s="18">
        <f>COUNTIF('iOS'!$E$36:$E$57,"Pass")</f>
        <v/>
      </c>
      <c r="C16" s="18">
        <f>COUNTIF('Android'!$E$36:$E$57,"Pass")</f>
        <v/>
      </c>
      <c r="D16" s="18">
        <f>COUNTIF('Desktop Chrome'!$E$36:$E$57,"Pass")</f>
        <v/>
      </c>
      <c r="E16" s="18">
        <f>COUNTIF('Desktop Firefox'!$E$36:$E$57,"Pass")</f>
        <v/>
      </c>
      <c r="F16" s="18">
        <f>COUNTIF('Desktop Other'!$E$36:$E$57,"Pass")</f>
        <v/>
      </c>
      <c r="G16" s="18" t="n">
        <v>22</v>
      </c>
    </row>
    <row r="17">
      <c r="A17" s="21" t="inlineStr">
        <is>
          <t>Parent — viewer (grades 6–12 student)</t>
        </is>
      </c>
      <c r="B17" s="18">
        <f>COUNTIF('iOS'!$E$59:$E$63,"Pass")</f>
        <v/>
      </c>
      <c r="C17" s="18">
        <f>COUNTIF('Android'!$E$59:$E$63,"Pass")</f>
        <v/>
      </c>
      <c r="D17" s="18">
        <f>COUNTIF('Desktop Chrome'!$E$59:$E$63,"Pass")</f>
        <v/>
      </c>
      <c r="E17" s="18">
        <f>COUNTIF('Desktop Firefox'!$E$59:$E$63,"Pass")</f>
        <v/>
      </c>
      <c r="F17" s="18">
        <f>COUNTIF('Desktop Other'!$E$59:$E$63,"Pass")</f>
        <v/>
      </c>
      <c r="G17" s="18" t="n">
        <v>5</v>
      </c>
    </row>
    <row r="18">
      <c r="A18" s="21" t="inlineStr">
        <is>
          <t>Supervisor (created by an Admin)</t>
        </is>
      </c>
      <c r="B18" s="18">
        <f>COUNTIF('iOS'!$E$65:$E$88,"Pass")</f>
        <v/>
      </c>
      <c r="C18" s="18">
        <f>COUNTIF('Android'!$E$65:$E$88,"Pass")</f>
        <v/>
      </c>
      <c r="D18" s="18">
        <f>COUNTIF('Desktop Chrome'!$E$65:$E$88,"Pass")</f>
        <v/>
      </c>
      <c r="E18" s="18">
        <f>COUNTIF('Desktop Firefox'!$E$65:$E$88,"Pass")</f>
        <v/>
      </c>
      <c r="F18" s="18">
        <f>COUNTIF('Desktop Other'!$E$65:$E$88,"Pass")</f>
        <v/>
      </c>
      <c r="G18" s="18" t="n">
        <v>24</v>
      </c>
    </row>
    <row r="19">
      <c r="A19" s="21" t="inlineStr">
        <is>
          <t>Admin (org-scoped)</t>
        </is>
      </c>
      <c r="B19" s="18">
        <f>COUNTIF('iOS'!$E$90:$E$105,"Pass")</f>
        <v/>
      </c>
      <c r="C19" s="18">
        <f>COUNTIF('Android'!$E$90:$E$105,"Pass")</f>
        <v/>
      </c>
      <c r="D19" s="18">
        <f>COUNTIF('Desktop Chrome'!$E$90:$E$105,"Pass")</f>
        <v/>
      </c>
      <c r="E19" s="18">
        <f>COUNTIF('Desktop Firefox'!$E$90:$E$105,"Pass")</f>
        <v/>
      </c>
      <c r="F19" s="18">
        <f>COUNTIF('Desktop Other'!$E$90:$E$105,"Pass")</f>
        <v/>
      </c>
      <c r="G19" s="18" t="n">
        <v>16</v>
      </c>
    </row>
    <row r="20">
      <c r="A20" s="21" t="inlineStr">
        <is>
          <t>Super Admin (global)</t>
        </is>
      </c>
      <c r="B20" s="18">
        <f>COUNTIF('iOS'!$E$107:$E$124,"Pass")</f>
        <v/>
      </c>
      <c r="C20" s="18">
        <f>COUNTIF('Android'!$E$107:$E$124,"Pass")</f>
        <v/>
      </c>
      <c r="D20" s="18">
        <f>COUNTIF('Desktop Chrome'!$E$107:$E$124,"Pass")</f>
        <v/>
      </c>
      <c r="E20" s="18">
        <f>COUNTIF('Desktop Firefox'!$E$107:$E$124,"Pass")</f>
        <v/>
      </c>
      <c r="F20" s="18">
        <f>COUNTIF('Desktop Other'!$E$107:$E$124,"Pass")</f>
        <v/>
      </c>
      <c r="G20" s="18" t="n">
        <v>18</v>
      </c>
    </row>
    <row r="21">
      <c r="A21" s="21" t="inlineStr">
        <is>
          <t>Cross-cutting</t>
        </is>
      </c>
      <c r="B21" s="18">
        <f>COUNTIF('iOS'!$E$126:$E$127,"Pass")</f>
        <v/>
      </c>
      <c r="C21" s="18">
        <f>COUNTIF('Android'!$E$126:$E$127,"Pass")</f>
        <v/>
      </c>
      <c r="D21" s="18">
        <f>COUNTIF('Desktop Chrome'!$E$126:$E$127,"Pass")</f>
        <v/>
      </c>
      <c r="E21" s="18">
        <f>COUNTIF('Desktop Firefox'!$E$126:$E$127,"Pass")</f>
        <v/>
      </c>
      <c r="F21" s="18">
        <f>COUNTIF('Desktop Other'!$E$126:$E$127,"Pass")</f>
        <v/>
      </c>
      <c r="G21" s="18" t="n">
        <v>2</v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iOS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PE16</t>
        </is>
      </c>
      <c r="B49" s="27" t="inlineStr">
        <is>
          <t>As a parent, I want to browse/search opportunities for my child (upcoming &amp; past).</t>
        </is>
      </c>
      <c r="C49" s="27" t="inlineStr">
        <is>
          <t>Find Opportunities with the child selected; use search and the upcoming/past views.</t>
        </is>
      </c>
      <c r="D49" s="27" t="inlineStr">
        <is>
          <t>Same event list a participant sees, scoped to the child's grade/org.</t>
        </is>
      </c>
      <c r="E49" s="28" t="n"/>
      <c r="F49" s="27" t="n"/>
      <c r="G49" s="28" t="n"/>
    </row>
    <row r="50" ht="42" customHeight="1">
      <c r="A50" s="26" t="inlineStr">
        <is>
          <t>PE17</t>
        </is>
      </c>
      <c r="B50" s="27" t="inlineStr">
        <is>
          <t>As a parent, I want to withdraw my child from an event.</t>
        </is>
      </c>
      <c r="C50" s="27" t="inlineStr">
        <is>
          <t>Open the child's upcoming events → withdraw.</t>
        </is>
      </c>
      <c r="D50" s="27" t="inlineStr">
        <is>
          <t>The child is removed; the slot frees up.</t>
        </is>
      </c>
      <c r="E50" s="28" t="n"/>
      <c r="F50" s="27" t="n"/>
      <c r="G50" s="28" t="n"/>
    </row>
    <row r="51" ht="42" customHeight="1">
      <c r="A51" s="26" t="inlineStr">
        <is>
          <t>PE18</t>
        </is>
      </c>
      <c r="B51" s="27" t="inlineStr">
        <is>
          <t>As a parent, I want to check my child in on event day.</t>
        </is>
      </c>
      <c r="C51" s="27" t="inlineStr">
        <is>
          <t>On the event day within the window, check the child in.</t>
        </is>
      </c>
      <c r="D51" s="27" t="inlineStr">
        <is>
          <t>Check-in succeeds for the child.</t>
        </is>
      </c>
      <c r="E51" s="28" t="n"/>
      <c r="F51" s="27" t="n"/>
      <c r="G51" s="28" t="n"/>
    </row>
    <row r="52" ht="42" customHeight="1">
      <c r="A52" s="26" t="inlineStr">
        <is>
          <t>PE19</t>
        </is>
      </c>
      <c r="B52" s="27" t="inlineStr">
        <is>
          <t>As a parent, I want to see my child's medal progress.</t>
        </is>
      </c>
      <c r="C52" s="27" t="inlineStr">
        <is>
          <t>Open the dashboard / child card.</t>
        </is>
      </c>
      <c r="D52" s="27" t="inlineStr">
        <is>
          <t>Progress uses the child's grade-based thresholds (e.g. lower bar for younger grades).</t>
        </is>
      </c>
      <c r="E52" s="28" t="n"/>
      <c r="F52" s="27" t="n"/>
      <c r="G52" s="28" t="n"/>
    </row>
    <row r="53" ht="42" customHeight="1">
      <c r="A53" s="26" t="inlineStr">
        <is>
          <t>PE20</t>
        </is>
      </c>
      <c r="B53" s="27" t="inlineStr">
        <is>
          <t>As a parent, external &gt;5h for my child requires proof.</t>
        </is>
      </c>
      <c r="C53" s="27" t="inlineStr">
        <is>
          <t>Outside hours for the child, over 5 hours, without then with a proof file.</t>
        </is>
      </c>
      <c r="D53" s="27" t="inlineStr">
        <is>
          <t>Blocked without proof; submits with a photo/letter.</t>
        </is>
      </c>
      <c r="E53" s="28" t="n"/>
      <c r="F53" s="27" t="n"/>
      <c r="G53" s="28" t="n"/>
    </row>
    <row r="54" ht="42" customHeight="1">
      <c r="A54" s="26" t="inlineStr">
        <is>
          <t>PE14</t>
        </is>
      </c>
      <c r="B54" s="27" t="inlineStr">
        <is>
          <t>As a parent, I want to log my child's outside/nonprofit volunteering.</t>
        </is>
      </c>
      <c r="C54" s="27" t="inlineStr">
        <is>
          <t>Child card → 'Outside hours' → fill activity, org, date, hours, supervisor → Submit.</t>
        </is>
      </c>
      <c r="D54" s="27" t="inlineStr">
        <is>
          <t>External hours submitted for the child and sent for supervisor approval (proof required over 5h).</t>
        </is>
      </c>
      <c r="E54" s="28" t="n"/>
      <c r="F54" s="27" t="n"/>
      <c r="G54" s="28" t="n"/>
    </row>
    <row r="55" ht="42" customHeight="1">
      <c r="A55" s="26" t="inlineStr">
        <is>
          <t>PE15</t>
        </is>
      </c>
      <c r="B55" s="27" t="inlineStr">
        <is>
          <t>As a parent, I want my child's verified service record.</t>
        </is>
      </c>
      <c r="C55" s="27" t="inlineStr">
        <is>
          <t>Child card → 'Service record'.</t>
        </is>
      </c>
      <c r="D55" s="27" t="inlineStr">
        <is>
          <t>The child's itemized record opens; Print / Save-as-PDF works.</t>
        </is>
      </c>
      <c r="E55" s="28" t="n"/>
      <c r="F55" s="27" t="n"/>
      <c r="G55" s="28" t="n"/>
    </row>
    <row r="56" ht="42" customHeight="1">
      <c r="A56" s="26" t="inlineStr">
        <is>
          <t>PE22</t>
        </is>
      </c>
      <c r="B56" s="27" t="inlineStr">
        <is>
          <t>As a parent, I want to be emailed when my child's hours are reviewed.</t>
        </is>
      </c>
      <c r="C56" s="27" t="inlineStr">
        <is>
          <t>Have a supervisor approve then reject a submission for a managed child.</t>
        </is>
      </c>
      <c r="D56" s="27" t="inlineStr">
        <is>
          <t>You (the guardian) receive the approved / needs-attention emails, even though the child has no email of their own.</t>
        </is>
      </c>
      <c r="E56" s="28" t="n"/>
      <c r="F56" s="27" t="n"/>
      <c r="G56" s="28" t="n"/>
    </row>
    <row r="57" ht="42" customHeight="1">
      <c r="A57" s="26" t="inlineStr">
        <is>
          <t>PE23</t>
        </is>
      </c>
      <c r="B57" s="27" t="inlineStr">
        <is>
          <t>As a parent, I want to edit my child's details.</t>
        </is>
      </c>
      <c r="C57" s="27" t="inlineStr">
        <is>
          <t>Child card → Edit → change name/grade/school → save.</t>
        </is>
      </c>
      <c r="D57" s="27" t="inlineStr">
        <is>
          <t>Changes save for the managed child.</t>
        </is>
      </c>
      <c r="E57" s="28" t="n"/>
      <c r="F57" s="27" t="n"/>
      <c r="G57" s="28" t="n"/>
    </row>
    <row r="58" ht="20" customHeight="1">
      <c r="A58" s="24" t="inlineStr">
        <is>
          <t>Parent — viewer (grades 6–12 student)</t>
        </is>
      </c>
      <c r="B58" s="25" t="n"/>
      <c r="C58" s="25" t="n"/>
      <c r="D58" s="25" t="n"/>
      <c r="E58" s="25" t="n"/>
      <c r="F58" s="25" t="n"/>
      <c r="G58" s="25" t="n"/>
    </row>
    <row r="59" ht="42" customHeight="1">
      <c r="A59" s="26" t="inlineStr">
        <is>
          <t>PV1</t>
        </is>
      </c>
      <c r="B59" s="27" t="inlineStr">
        <is>
          <t>As a parent of a 6–12 student, I want to register for view-only access.</t>
        </is>
      </c>
      <c r="C59" s="27" t="inlineStr">
        <is>
          <t>Create account → parent of a 6–12 student.</t>
        </is>
      </c>
      <c r="D59" s="27" t="inlineStr">
        <is>
          <t>Account created; no invite required to register.</t>
        </is>
      </c>
      <c r="E59" s="28" t="n"/>
      <c r="F59" s="27" t="n"/>
      <c r="G59" s="28" t="n"/>
    </row>
    <row r="60" ht="42" customHeight="1">
      <c r="A60" s="26" t="inlineStr">
        <is>
          <t>PV2</t>
        </is>
      </c>
      <c r="B60" s="27" t="inlineStr">
        <is>
          <t>As a viewer parent, my student links automatically by email.</t>
        </is>
      </c>
      <c r="C60" s="27" t="inlineStr">
        <is>
          <t>Have a student enter this exact email as their parent email (before or after you register).</t>
        </is>
      </c>
      <c r="D60" s="27" t="inlineStr">
        <is>
          <t>The student appears on your dashboard automatically; empty until then.</t>
        </is>
      </c>
      <c r="E60" s="28" t="n"/>
      <c r="F60" s="27" t="n"/>
      <c r="G60" s="28" t="n"/>
    </row>
    <row r="61" ht="42" customHeight="1">
      <c r="A61" s="26" t="inlineStr">
        <is>
          <t>PV3</t>
        </is>
      </c>
      <c r="B61" s="27" t="inlineStr">
        <is>
          <t>As a viewer parent, I want to see my student's schedule/progress.</t>
        </is>
      </c>
      <c r="C61" s="27" t="inlineStr">
        <is>
          <t>Open the dashboard.</t>
        </is>
      </c>
      <c r="D61" s="27" t="inlineStr">
        <is>
          <t>View-only schedule and progress.</t>
        </is>
      </c>
      <c r="E61" s="28" t="n"/>
      <c r="F61" s="27" t="n"/>
      <c r="G61" s="28" t="n"/>
    </row>
    <row r="62" ht="42" customHeight="1">
      <c r="A62" s="26" t="inlineStr">
        <is>
          <t>PV4</t>
        </is>
      </c>
      <c r="B62" s="27" t="inlineStr">
        <is>
          <t>As a viewer parent, I do NOT sign the student up.</t>
        </is>
      </c>
      <c r="C62" s="27" t="inlineStr">
        <is>
          <t>Look for a sign-up action.</t>
        </is>
      </c>
      <c r="D62" s="27" t="inlineStr">
        <is>
          <t>No sign-up on the student's behalf — the student self-serves.</t>
        </is>
      </c>
      <c r="E62" s="28" t="n"/>
      <c r="F62" s="27" t="n"/>
      <c r="G62" s="28" t="n"/>
    </row>
    <row r="63" ht="42" customHeight="1">
      <c r="A63" s="26" t="inlineStr">
        <is>
          <t>PV5</t>
        </is>
      </c>
      <c r="B63" s="27" t="inlineStr">
        <is>
          <t>As a viewer parent, I want to invite a co-guardian.</t>
        </is>
      </c>
      <c r="C63" s="27" t="inlineStr">
        <is>
          <t>Invite a co-guardian by email.</t>
        </is>
      </c>
      <c r="D63" s="27" t="inlineStr">
        <is>
          <t>Invite email sent; shared access on registration.</t>
        </is>
      </c>
      <c r="E63" s="28" t="n"/>
      <c r="F63" s="27" t="n"/>
      <c r="G63" s="28" t="n"/>
    </row>
    <row r="64" ht="20" customHeight="1">
      <c r="A64" s="24" t="inlineStr">
        <is>
          <t>Supervisor (created by an Admin)</t>
        </is>
      </c>
      <c r="B64" s="25" t="n"/>
      <c r="C64" s="25" t="n"/>
      <c r="D64" s="25" t="n"/>
      <c r="E64" s="25" t="n"/>
      <c r="F64" s="25" t="n"/>
      <c r="G64" s="25" t="n"/>
    </row>
    <row r="65" ht="42" customHeight="1">
      <c r="A65" s="26" t="inlineStr">
        <is>
          <t>SV1</t>
        </is>
      </c>
      <c r="B65" s="27" t="inlineStr">
        <is>
          <t>As the program, a supervisor cannot self-register.</t>
        </is>
      </c>
      <c r="C65" s="27" t="inlineStr">
        <is>
          <t>Review the sign-up options.</t>
        </is>
      </c>
      <c r="D65" s="27" t="inlineStr">
        <is>
          <t>No supervisor option exists on registration.</t>
        </is>
      </c>
      <c r="E65" s="28" t="n"/>
      <c r="F65" s="27" t="n"/>
      <c r="G65" s="28" t="n"/>
    </row>
    <row r="66" ht="42" customHeight="1">
      <c r="A66" s="26" t="inlineStr">
        <is>
          <t>SV2</t>
        </is>
      </c>
      <c r="B66" s="27" t="inlineStr">
        <is>
          <t>As a new supervisor, I get an invite to set my password.</t>
        </is>
      </c>
      <c r="C66" s="27" t="inlineStr">
        <is>
          <t>Have an Admin create your account; open the invite email; set password; sign in.</t>
        </is>
      </c>
      <c r="D66" s="27" t="inlineStr">
        <is>
          <t>Invite email arrives with a working set-password link; you can sign in.</t>
        </is>
      </c>
      <c r="E66" s="28" t="n"/>
      <c r="F66" s="27" t="n"/>
      <c r="G66" s="28" t="n"/>
    </row>
    <row r="67" ht="42" customHeight="1">
      <c r="A67" s="26" t="inlineStr">
        <is>
          <t>SV3</t>
        </is>
      </c>
      <c r="B67" s="27" t="inlineStr">
        <is>
          <t>As a supervisor, I want the correct 7 left-menu tabs.</t>
        </is>
      </c>
      <c r="C67" s="27" t="inlineStr">
        <is>
          <t>Look at the left menu.</t>
        </is>
      </c>
      <c r="D67" s="27" t="inlineStr">
        <is>
          <t>Dashboard, Pending Reviews, Reviewed History, My Events, All Opportunities, My Hours, Help.</t>
        </is>
      </c>
      <c r="E67" s="28" t="n"/>
      <c r="F67" s="27" t="n"/>
      <c r="G67" s="28" t="n"/>
    </row>
    <row r="68" ht="42" customHeight="1">
      <c r="A68" s="26" t="inlineStr">
        <is>
          <t>SV4</t>
        </is>
      </c>
      <c r="B68" s="27" t="inlineStr">
        <is>
          <t>As a supervisor, I want a dashboard.</t>
        </is>
      </c>
      <c r="C68" s="27" t="inlineStr">
        <is>
          <t>Open the dashboard.</t>
        </is>
      </c>
      <c r="D68" s="27" t="inlineStr">
        <is>
          <t>Review queue, approved/rejected counts, registrations, hours, upcoming events + Roster links.</t>
        </is>
      </c>
      <c r="E68" s="28" t="n"/>
      <c r="F68" s="27" t="n"/>
      <c r="G68" s="28" t="n"/>
    </row>
    <row r="69" ht="42" customHeight="1">
      <c r="A69" s="26" t="inlineStr">
        <is>
          <t>SV5</t>
        </is>
      </c>
      <c r="B69" s="27" t="inlineStr">
        <is>
          <t>As a supervisor, I want to approve hours.</t>
        </is>
      </c>
      <c r="C69" s="27" t="inlineStr">
        <is>
          <t>Pending Reviews → open → Approve.</t>
        </is>
      </c>
      <c r="D69" s="27" t="inlineStr">
        <is>
          <t>Approved; moves to Reviewed History; participant total updates; email sent.</t>
        </is>
      </c>
      <c r="E69" s="28" t="n"/>
      <c r="F69" s="27" t="n"/>
      <c r="G69" s="28" t="n"/>
    </row>
    <row r="70" ht="42" customHeight="1">
      <c r="A70" s="26" t="inlineStr">
        <is>
          <t>SV6</t>
        </is>
      </c>
      <c r="B70" s="27" t="inlineStr">
        <is>
          <t>As a supervisor, I want to reject hours with a reason.</t>
        </is>
      </c>
      <c r="C70" s="27" t="inlineStr">
        <is>
          <t>Reject without a reason, then with one.</t>
        </is>
      </c>
      <c r="D70" s="27" t="inlineStr">
        <is>
          <t>Blocked until a reason is given; then rejected and the participant notified.</t>
        </is>
      </c>
      <c r="E70" s="28" t="n"/>
      <c r="F70" s="27" t="n"/>
      <c r="G70" s="28" t="n"/>
    </row>
    <row r="71" ht="42" customHeight="1">
      <c r="A71" s="26" t="inlineStr">
        <is>
          <t>SV7</t>
        </is>
      </c>
      <c r="B71" s="27" t="inlineStr">
        <is>
          <t>As a supervisor, I want to review external submissions.</t>
        </is>
      </c>
      <c r="C71" s="27" t="inlineStr">
        <is>
          <t>Pending Reviews → external tab → approve/reject.</t>
        </is>
      </c>
      <c r="D71" s="27" t="inlineStr">
        <is>
          <t>External items reviewable, including any proof.</t>
        </is>
      </c>
      <c r="E71" s="28" t="n"/>
      <c r="F71" s="27" t="n"/>
      <c r="G71" s="28" t="n"/>
    </row>
    <row r="72" ht="42" customHeight="1">
      <c r="A72" s="26" t="inlineStr">
        <is>
          <t>SV8</t>
        </is>
      </c>
      <c r="B72" s="27" t="inlineStr">
        <is>
          <t>As a supervisor, I want to create an event.</t>
        </is>
      </c>
      <c r="C72" s="27" t="inlineStr">
        <is>
          <t>New Event → title, description, slot, address, date, times, capacity, grade limits → save.</t>
        </is>
      </c>
      <c r="D72" s="27" t="inlineStr">
        <is>
          <t>Credit auto-calculated from times; event created in My Events.</t>
        </is>
      </c>
      <c r="E72" s="28" t="n"/>
      <c r="F72" s="27" t="n"/>
      <c r="G72" s="28" t="n"/>
    </row>
    <row r="73" ht="42" customHeight="1">
      <c r="A73" s="26" t="inlineStr">
        <is>
          <t>SV9</t>
        </is>
      </c>
      <c r="B73" s="27" t="inlineStr">
        <is>
          <t>As a supervisor, I want to edit an event.</t>
        </is>
      </c>
      <c r="C73" s="27" t="inlineStr">
        <is>
          <t>My Events → edit → save.</t>
        </is>
      </c>
      <c r="D73" s="27" t="inlineStr">
        <is>
          <t>Changes persist and show to participants.</t>
        </is>
      </c>
      <c r="E73" s="28" t="n"/>
      <c r="F73" s="27" t="n"/>
      <c r="G73" s="28" t="n"/>
    </row>
    <row r="74" ht="42" customHeight="1">
      <c r="A74" s="26" t="inlineStr">
        <is>
          <t>SV10</t>
        </is>
      </c>
      <c r="B74" s="27" t="inlineStr">
        <is>
          <t>As a supervisor, I want to delete an event with no approved hours.</t>
        </is>
      </c>
      <c r="C74" s="27" t="inlineStr">
        <is>
          <t>Delete such an event → confirm.</t>
        </is>
      </c>
      <c r="D74" s="27" t="inlineStr">
        <is>
          <t>Event deleted.</t>
        </is>
      </c>
      <c r="E74" s="28" t="n"/>
      <c r="F74" s="27" t="n"/>
      <c r="G74" s="28" t="n"/>
    </row>
    <row r="75" ht="42" customHeight="1">
      <c r="A75" s="26" t="inlineStr">
        <is>
          <t>SV11</t>
        </is>
      </c>
      <c r="B75" s="27" t="inlineStr">
        <is>
          <t>As a supervisor, deleting an event with approved hours is blocked.</t>
        </is>
      </c>
      <c r="C75" s="27" t="inlineStr">
        <is>
          <t>Try to delete an event that has approved hours.</t>
        </is>
      </c>
      <c r="D75" s="27" t="inlineStr">
        <is>
          <t>Blocked with a message that approved hours must be preserved.</t>
        </is>
      </c>
      <c r="E75" s="28" t="n"/>
      <c r="F75" s="27" t="n"/>
      <c r="G75" s="28" t="n"/>
    </row>
    <row r="76" ht="42" customHeight="1">
      <c r="A76" s="26" t="inlineStr">
        <is>
          <t>SV12</t>
        </is>
      </c>
      <c r="B76" s="27" t="inlineStr">
        <is>
          <t>As a supervisor, I want to see who signed up.</t>
        </is>
      </c>
      <c r="C76" s="27" t="inlineStr">
        <is>
          <t>Open the event Roster.</t>
        </is>
      </c>
      <c r="D76" s="27" t="inlineStr">
        <is>
          <t>Registrants listed with grade and status.</t>
        </is>
      </c>
      <c r="E76" s="28" t="n"/>
      <c r="F76" s="27" t="n"/>
      <c r="G76" s="28" t="n"/>
    </row>
    <row r="77" ht="42" customHeight="1">
      <c r="A77" s="26" t="inlineStr">
        <is>
          <t>SV13</t>
        </is>
      </c>
      <c r="B77" s="27" t="inlineStr">
        <is>
          <t>As a supervisor, I want to check people in / mark no-show.</t>
        </is>
      </c>
      <c r="C77" s="27" t="inlineStr">
        <is>
          <t>On the roster, Check in and Mark no-show.</t>
        </is>
      </c>
      <c r="D77" s="27" t="inlineStr">
        <is>
          <t>Status updates and persists.</t>
        </is>
      </c>
      <c r="E77" s="28" t="n"/>
      <c r="F77" s="27" t="n"/>
      <c r="G77" s="28" t="n"/>
    </row>
    <row r="78" ht="42" customHeight="1">
      <c r="A78" s="26" t="inlineStr">
        <is>
          <t>SV14</t>
        </is>
      </c>
      <c r="B78" s="27" t="inlineStr">
        <is>
          <t>As a supervisor, I want to message everyone signed up.</t>
        </is>
      </c>
      <c r="C78" s="27" t="inlineStr">
        <is>
          <t>Roster → Message attendees → subject+message → send (include guardians on).</t>
        </is>
      </c>
      <c r="D78" s="27" t="inlineStr">
        <is>
          <t>Each registrant (and guardians) emailed individually; recipient count shown.</t>
        </is>
      </c>
      <c r="E78" s="28" t="n"/>
      <c r="F78" s="27" t="n"/>
      <c r="G78" s="28" t="n"/>
    </row>
    <row r="79" ht="42" customHeight="1">
      <c r="A79" s="26" t="inlineStr">
        <is>
          <t>SV15</t>
        </is>
      </c>
      <c r="B79" s="27" t="inlineStr">
        <is>
          <t>As a supervisor, I want a history of what I reviewed.</t>
        </is>
      </c>
      <c r="C79" s="27" t="inlineStr">
        <is>
          <t>Open Reviewed History.</t>
        </is>
      </c>
      <c r="D79" s="27" t="inlineStr">
        <is>
          <t>Every approved/rejected item with dates and volunteers.</t>
        </is>
      </c>
      <c r="E79" s="28" t="n"/>
      <c r="F79" s="27" t="n"/>
      <c r="G79" s="28" t="n"/>
    </row>
    <row r="80" ht="42" customHeight="1">
      <c r="A80" s="26" t="inlineStr">
        <is>
          <t>SV16</t>
        </is>
      </c>
      <c r="B80" s="27" t="inlineStr">
        <is>
          <t>As a supervisor, I want to browse all opportunities view-only.</t>
        </is>
      </c>
      <c r="C80" s="27" t="inlineStr">
        <is>
          <t>All Opportunities → search / upcoming-past.</t>
        </is>
      </c>
      <c r="D80" s="27" t="inlineStr">
        <is>
          <t>Every event listed read-only; can't edit others' events.</t>
        </is>
      </c>
      <c r="E80" s="28" t="n"/>
      <c r="F80" s="27" t="n"/>
      <c r="G80" s="28" t="n"/>
    </row>
    <row r="81" ht="42" customHeight="1">
      <c r="A81" s="26" t="inlineStr">
        <is>
          <t>SV17</t>
        </is>
      </c>
      <c r="B81" s="27" t="inlineStr">
        <is>
          <t>As a supervisor, I want to log my own adult hours.</t>
        </is>
      </c>
      <c r="C81" s="27" t="inlineStr">
        <is>
          <t>My Hours → log an activity, date, hours → save.</t>
        </is>
      </c>
      <c r="D81" s="27" t="inlineStr">
        <is>
          <t>Recorded instantly with a running total; clearly NOT part of the student competition.</t>
        </is>
      </c>
      <c r="E81" s="28" t="n"/>
      <c r="F81" s="27" t="n"/>
      <c r="G81" s="28" t="n"/>
    </row>
    <row r="82" ht="42" customHeight="1">
      <c r="A82" s="26" t="inlineStr">
        <is>
          <t>SV18</t>
        </is>
      </c>
      <c r="B82" s="27" t="inlineStr">
        <is>
          <t>As a supervisor, I want to delete an adult-hours entry.</t>
        </is>
      </c>
      <c r="C82" s="27" t="inlineStr">
        <is>
          <t>My Hours → delete an entry → confirm.</t>
        </is>
      </c>
      <c r="D82" s="27" t="inlineStr">
        <is>
          <t>Removed; total updates.</t>
        </is>
      </c>
      <c r="E82" s="28" t="n"/>
      <c r="F82" s="27" t="n"/>
      <c r="G82" s="28" t="n"/>
    </row>
    <row r="83" ht="42" customHeight="1">
      <c r="A83" s="26" t="inlineStr">
        <is>
          <t>SV19</t>
        </is>
      </c>
      <c r="B83" s="27" t="inlineStr">
        <is>
          <t>As a supervisor, I must NOT access user or org management.</t>
        </is>
      </c>
      <c r="C83" s="27" t="inlineStr">
        <is>
          <t>Look for Users / Organizations in the menu.</t>
        </is>
      </c>
      <c r="D83" s="27" t="inlineStr">
        <is>
          <t>Those tabs are absent; direct URLs are blocked.</t>
        </is>
      </c>
      <c r="E83" s="28" t="n"/>
      <c r="F83" s="27" t="n"/>
      <c r="G83" s="28" t="n"/>
    </row>
    <row r="84" ht="42" customHeight="1">
      <c r="A84" s="26" t="inlineStr">
        <is>
          <t>SV20</t>
        </is>
      </c>
      <c r="B84" s="27" t="inlineStr">
        <is>
          <t>As a supervisor, I want to attach files to a message.</t>
        </is>
      </c>
      <c r="C84" s="27" t="inlineStr">
        <is>
          <t>Roster → Message attendees → add an image/PDF (≤10 MB) → send.</t>
        </is>
      </c>
      <c r="D84" s="27" t="inlineStr">
        <is>
          <t>The attachment uploads, appears in the dialog, and arrives with the email.</t>
        </is>
      </c>
      <c r="E84" s="28" t="n"/>
      <c r="F84" s="27" t="n"/>
      <c r="G84" s="28" t="n"/>
    </row>
    <row r="85" ht="42" customHeight="1">
      <c r="A85" s="26" t="inlineStr">
        <is>
          <t>SV21</t>
        </is>
      </c>
      <c r="B85" s="27" t="inlineStr">
        <is>
          <t>As a supervisor, I want an email when someone signs up.</t>
        </is>
      </c>
      <c r="C85" s="27" t="inlineStr">
        <is>
          <t>Have a participant sign up for your event (with notifications on).</t>
        </is>
      </c>
      <c r="D85" s="27" t="inlineStr">
        <is>
          <t>You receive a sign-up email; toggling notifications off stops them.</t>
        </is>
      </c>
      <c r="E85" s="28" t="n"/>
      <c r="F85" s="27" t="n"/>
      <c r="G85" s="28" t="n"/>
    </row>
    <row r="86" ht="42" customHeight="1">
      <c r="A86" s="26" t="inlineStr">
        <is>
          <t>SV22</t>
        </is>
      </c>
      <c r="B86" s="27" t="inlineStr">
        <is>
          <t>As a supervisor, I want to verify who's a real member before sharing access.</t>
        </is>
      </c>
      <c r="C86" s="27" t="inlineStr">
        <is>
          <t>Open the Roster and read the attendee badges.</t>
        </is>
      </c>
      <c r="D86" s="27" t="inlineStr">
        <is>
          <t>Each shows their org, or 'Community · unverified'; a warning reminds you to confirm before sharing a building QR.</t>
        </is>
      </c>
      <c r="E86" s="28" t="n"/>
      <c r="F86" s="27" t="n"/>
      <c r="G86" s="28" t="n"/>
    </row>
    <row r="87" ht="42" customHeight="1">
      <c r="A87" s="26" t="inlineStr">
        <is>
          <t>SV23</t>
        </is>
      </c>
      <c r="B87" s="27" t="inlineStr">
        <is>
          <t>As a supervisor, I want to add a specific student to my event by email.</t>
        </is>
      </c>
      <c r="C87" s="27" t="inlineStr">
        <is>
          <t>Roster → Add a participant → enter their account email → Add.</t>
        </is>
      </c>
      <c r="D87" s="27" t="inlineStr">
        <is>
          <t>They're registered and emailed ('added to &lt;event&gt;'); it appears in their schedule. Works even for a student from another org (you vouch), without opening the event.</t>
        </is>
      </c>
      <c r="E87" s="28" t="n"/>
      <c r="F87" s="27" t="n"/>
      <c r="G87" s="28" t="n"/>
    </row>
    <row r="88" ht="42" customHeight="1">
      <c r="A88" s="26" t="inlineStr">
        <is>
          <t>SV24</t>
        </is>
      </c>
      <c r="B88" s="27" t="inlineStr">
        <is>
          <t>As the program, a gated event stays closed to non-members who aren't added.</t>
        </is>
      </c>
      <c r="C88" s="27" t="inlineStr">
        <is>
          <t>As a student not in the org, look for the gated event.</t>
        </is>
      </c>
      <c r="D88" s="27" t="inlineStr">
        <is>
          <t>It never appears for self sign-up; only a supervisor can add them.</t>
        </is>
      </c>
      <c r="E88" s="28" t="n"/>
      <c r="F88" s="27" t="n"/>
      <c r="G88" s="28" t="n"/>
    </row>
    <row r="89" ht="20" customHeight="1">
      <c r="A89" s="24" t="inlineStr">
        <is>
          <t>Admin (org-scoped)</t>
        </is>
      </c>
      <c r="B89" s="25" t="n"/>
      <c r="C89" s="25" t="n"/>
      <c r="D89" s="25" t="n"/>
      <c r="E89" s="25" t="n"/>
      <c r="F89" s="25" t="n"/>
      <c r="G89" s="25" t="n"/>
    </row>
    <row r="90" ht="42" customHeight="1">
      <c r="A90" s="26" t="inlineStr">
        <is>
          <t>AD1</t>
        </is>
      </c>
      <c r="B90" s="27" t="inlineStr">
        <is>
          <t>As an Admin, I want the correct menu tabs.</t>
        </is>
      </c>
      <c r="C90" s="27" t="inlineStr">
        <is>
          <t>Look at the left menu.</t>
        </is>
      </c>
      <c r="D90" s="27" t="inlineStr">
        <is>
          <t>Dashboard, Pending Reviews, Reviewed History, My Events, All Opportunities, Users, Organizations, My Hours, Help.</t>
        </is>
      </c>
      <c r="E90" s="28" t="n"/>
      <c r="F90" s="27" t="n"/>
      <c r="G90" s="28" t="n"/>
    </row>
    <row r="91" ht="42" customHeight="1">
      <c r="A91" s="26" t="inlineStr">
        <is>
          <t>AD2</t>
        </is>
      </c>
      <c r="B91" s="27" t="inlineStr">
        <is>
          <t>As an Admin, I can do everything a supervisor can.</t>
        </is>
      </c>
      <c r="C91" s="27" t="inlineStr">
        <is>
          <t>Spot-check: approve an item and create an event.</t>
        </is>
      </c>
      <c r="D91" s="27" t="inlineStr">
        <is>
          <t>Both work.</t>
        </is>
      </c>
      <c r="E91" s="28" t="n"/>
      <c r="F91" s="27" t="n"/>
      <c r="G91" s="28" t="n"/>
    </row>
    <row r="92" ht="42" customHeight="1">
      <c r="A92" s="26" t="inlineStr">
        <is>
          <t>AD3</t>
        </is>
      </c>
      <c r="B92" s="27" t="inlineStr">
        <is>
          <t>As an Admin, I only see my org's non-admin users.</t>
        </is>
      </c>
      <c r="C92" s="27" t="inlineStr">
        <is>
          <t>Open Users.</t>
        </is>
      </c>
      <c r="D92" s="27" t="inlineStr">
        <is>
          <t>Only participants/parents/supervisors in your org; no admins/super admins; no other orgs.</t>
        </is>
      </c>
      <c r="E92" s="28" t="n"/>
      <c r="F92" s="27" t="n"/>
      <c r="G92" s="28" t="n"/>
    </row>
    <row r="93" ht="42" customHeight="1">
      <c r="A93" s="26" t="inlineStr">
        <is>
          <t>AD4</t>
        </is>
      </c>
      <c r="B93" s="27" t="inlineStr">
        <is>
          <t>As an Admin, I want to add a supervisor.</t>
        </is>
      </c>
      <c r="C93" s="27" t="inlineStr">
        <is>
          <t>Users → Add user → Supervisor → save.</t>
        </is>
      </c>
      <c r="D93" s="27" t="inlineStr">
        <is>
          <t>Supervisor created, stamped to your org; invite email sent.</t>
        </is>
      </c>
      <c r="E93" s="28" t="n"/>
      <c r="F93" s="27" t="n"/>
      <c r="G93" s="28" t="n"/>
    </row>
    <row r="94" ht="42" customHeight="1">
      <c r="A94" s="26" t="inlineStr">
        <is>
          <t>AD5</t>
        </is>
      </c>
      <c r="B94" s="27" t="inlineStr">
        <is>
          <t>As an Admin, I want to create a participant as a fallback.</t>
        </is>
      </c>
      <c r="C94" s="27" t="inlineStr">
        <is>
          <t>Users → Add user → Participant → save.</t>
        </is>
      </c>
      <c r="D94" s="27" t="inlineStr">
        <is>
          <t>Participant created with a set-password invite (no silent password).</t>
        </is>
      </c>
      <c r="E94" s="28" t="n"/>
      <c r="F94" s="27" t="n"/>
      <c r="G94" s="28" t="n"/>
    </row>
    <row r="95" ht="42" customHeight="1">
      <c r="A95" s="26" t="inlineStr">
        <is>
          <t>AD6</t>
        </is>
      </c>
      <c r="B95" s="27" t="inlineStr">
        <is>
          <t>As an Admin, I want to grant participant hours.</t>
        </is>
      </c>
      <c r="C95" s="27" t="inlineStr">
        <is>
          <t>Open a participant in your org → Add hours.</t>
        </is>
      </c>
      <c r="D95" s="27" t="inlineStr">
        <is>
          <t>Hours auto-approved; count toward their total/medals.</t>
        </is>
      </c>
      <c r="E95" s="28" t="n"/>
      <c r="F95" s="27" t="n"/>
      <c r="G95" s="28" t="n"/>
    </row>
    <row r="96" ht="42" customHeight="1">
      <c r="A96" s="26" t="inlineStr">
        <is>
          <t>AD7</t>
        </is>
      </c>
      <c r="B96" s="27" t="inlineStr">
        <is>
          <t>As an Admin, I want a participant's service record.</t>
        </is>
      </c>
      <c r="C96" s="27" t="inlineStr">
        <is>
          <t>Users → Service record for a participant in your org.</t>
        </is>
      </c>
      <c r="D96" s="27" t="inlineStr">
        <is>
          <t>Record opens.</t>
        </is>
      </c>
      <c r="E96" s="28" t="n"/>
      <c r="F96" s="27" t="n"/>
      <c r="G96" s="28" t="n"/>
    </row>
    <row r="97" ht="42" customHeight="1">
      <c r="A97" s="26" t="inlineStr">
        <is>
          <t>AD8</t>
        </is>
      </c>
      <c r="B97" s="27" t="inlineStr">
        <is>
          <t>As an Admin, I want to edit/delete my org's users.</t>
        </is>
      </c>
      <c r="C97" s="27" t="inlineStr">
        <is>
          <t>Edit a name/phone; delete a test user.</t>
        </is>
      </c>
      <c r="D97" s="27" t="inlineStr">
        <is>
          <t>Changes apply within your org.</t>
        </is>
      </c>
      <c r="E97" s="28" t="n"/>
      <c r="F97" s="27" t="n"/>
      <c r="G97" s="28" t="n"/>
    </row>
    <row r="98" ht="42" customHeight="1">
      <c r="A98" s="26" t="inlineStr">
        <is>
          <t>AD9</t>
        </is>
      </c>
      <c r="B98" s="27" t="inlineStr">
        <is>
          <t>As an Admin, I must NOT act on users outside my org.</t>
        </is>
      </c>
      <c r="C98" s="27" t="inlineStr">
        <is>
          <t>Attempt to reach another org's user (e.g. direct URL).</t>
        </is>
      </c>
      <c r="D98" s="27" t="inlineStr">
        <is>
          <t>Blocked / not visible.</t>
        </is>
      </c>
      <c r="E98" s="28" t="n"/>
      <c r="F98" s="27" t="n"/>
      <c r="G98" s="28" t="n"/>
    </row>
    <row r="99" ht="42" customHeight="1">
      <c r="A99" s="26" t="inlineStr">
        <is>
          <t>AD10</t>
        </is>
      </c>
      <c r="B99" s="27" t="inlineStr">
        <is>
          <t>As an Admin, I cannot grant Admin access or manage admins.</t>
        </is>
      </c>
      <c r="C99" s="27" t="inlineStr">
        <is>
          <t>Look for the 'grant Admin access' action.</t>
        </is>
      </c>
      <c r="D99" s="27" t="inlineStr">
        <is>
          <t>No such button; attempts are blocked server-side.</t>
        </is>
      </c>
      <c r="E99" s="28" t="n"/>
      <c r="F99" s="27" t="n"/>
      <c r="G99" s="28" t="n"/>
    </row>
    <row r="100" ht="42" customHeight="1">
      <c r="A100" s="26" t="inlineStr">
        <is>
          <t>AD11</t>
        </is>
      </c>
      <c r="B100" s="27" t="inlineStr">
        <is>
          <t>As an Admin, I see and edit only my own organization.</t>
        </is>
      </c>
      <c r="C100" s="27" t="inlineStr">
        <is>
          <t>Open Organizations.</t>
        </is>
      </c>
      <c r="D100" s="27" t="inlineStr">
        <is>
          <t>Only your org shows; you can edit its settings.</t>
        </is>
      </c>
      <c r="E100" s="28" t="n"/>
      <c r="F100" s="27" t="n"/>
      <c r="G100" s="28" t="n"/>
    </row>
    <row r="101" ht="42" customHeight="1">
      <c r="A101" s="26" t="inlineStr">
        <is>
          <t>AD12</t>
        </is>
      </c>
      <c r="B101" s="27" t="inlineStr">
        <is>
          <t>As an Admin, I want to generate/rotate my org's join code.</t>
        </is>
      </c>
      <c r="C101" s="27" t="inlineStr">
        <is>
          <t>Organizations → set/generate a join code → save.</t>
        </is>
      </c>
      <c r="D101" s="27" t="inlineStr">
        <is>
          <t>Join code saved; usable at sign-up.</t>
        </is>
      </c>
      <c r="E101" s="28" t="n"/>
      <c r="F101" s="27" t="n"/>
      <c r="G101" s="28" t="n"/>
    </row>
    <row r="102" ht="42" customHeight="1">
      <c r="A102" s="26" t="inlineStr">
        <is>
          <t>AD13</t>
        </is>
      </c>
      <c r="B102" s="27" t="inlineStr">
        <is>
          <t>As an Admin, I cannot create organizations.</t>
        </is>
      </c>
      <c r="C102" s="27" t="inlineStr">
        <is>
          <t>Look for 'Add organization'.</t>
        </is>
      </c>
      <c r="D102" s="27" t="inlineStr">
        <is>
          <t>No Add button; creation blocked.</t>
        </is>
      </c>
      <c r="E102" s="28" t="n"/>
      <c r="F102" s="27" t="n"/>
      <c r="G102" s="28" t="n"/>
    </row>
    <row r="103" ht="42" customHeight="1">
      <c r="A103" s="26" t="inlineStr">
        <is>
          <t>AD14</t>
        </is>
      </c>
      <c r="B103" s="27" t="inlineStr">
        <is>
          <t>As an Admin, I cannot change the recycling cans total.</t>
        </is>
      </c>
      <c r="C103" s="27" t="inlineStr">
        <is>
          <t>Look for the cans/bin admin control.</t>
        </is>
      </c>
      <c r="D103" s="27" t="inlineStr">
        <is>
          <t>Not available (Super Admin only).</t>
        </is>
      </c>
      <c r="E103" s="28" t="n"/>
      <c r="F103" s="27" t="n"/>
      <c r="G103" s="28" t="n"/>
    </row>
    <row r="104" ht="42" customHeight="1">
      <c r="A104" s="26" t="inlineStr">
        <is>
          <t>AD15</t>
        </is>
      </c>
      <c r="B104" s="27" t="inlineStr">
        <is>
          <t>As an Admin, I can turn my activity emails off.</t>
        </is>
      </c>
      <c r="C104" s="27" t="inlineStr">
        <is>
          <t>Dashboard → Email notifications toggle off; have a student sign up for your event.</t>
        </is>
      </c>
      <c r="D104" s="27" t="inlineStr">
        <is>
          <t>No sign-up email arrives while off; turning it back on resumes them.</t>
        </is>
      </c>
      <c r="E104" s="28" t="n"/>
      <c r="F104" s="27" t="n"/>
      <c r="G104" s="28" t="n"/>
    </row>
    <row r="105" ht="42" customHeight="1">
      <c r="A105" s="26" t="inlineStr">
        <is>
          <t>AD16</t>
        </is>
      </c>
      <c r="B105" s="27" t="inlineStr">
        <is>
          <t>As an Admin creating a user, I choose among only my org(s).</t>
        </is>
      </c>
      <c r="C105" s="27" t="inlineStr">
        <is>
          <t>Add user → Organization picker.</t>
        </is>
      </c>
      <c r="D105" s="27" t="inlineStr">
        <is>
          <t>Only the org(s) I manage are listed (Super Admins see all + 'none').</t>
        </is>
      </c>
      <c r="E105" s="28" t="n"/>
      <c r="F105" s="27" t="n"/>
      <c r="G105" s="28" t="n"/>
    </row>
    <row r="106" ht="20" customHeight="1">
      <c r="A106" s="24" t="inlineStr">
        <is>
          <t>Super Admin (global)</t>
        </is>
      </c>
      <c r="B106" s="25" t="n"/>
      <c r="C106" s="25" t="n"/>
      <c r="D106" s="25" t="n"/>
      <c r="E106" s="25" t="n"/>
      <c r="F106" s="25" t="n"/>
      <c r="G106" s="25" t="n"/>
    </row>
    <row r="107" ht="42" customHeight="1">
      <c r="A107" s="26" t="inlineStr">
        <is>
          <t>SA1</t>
        </is>
      </c>
      <c r="B107" s="27" t="inlineStr">
        <is>
          <t>As a Super Admin, I want the correct menu tabs.</t>
        </is>
      </c>
      <c r="C107" s="27" t="inlineStr">
        <is>
          <t>Look at the left menu.</t>
        </is>
      </c>
      <c r="D107" s="27" t="inlineStr">
        <is>
          <t>Dashboard, Reports, Users, Events, Organizations (Help in footer).</t>
        </is>
      </c>
      <c r="E107" s="28" t="n"/>
      <c r="F107" s="27" t="n"/>
      <c r="G107" s="28" t="n"/>
    </row>
    <row r="108" ht="42" customHeight="1">
      <c r="A108" s="26" t="inlineStr">
        <is>
          <t>SA2</t>
        </is>
      </c>
      <c r="B108" s="27" t="inlineStr">
        <is>
          <t>As a Super Admin, I can do everything an Admin can, across all orgs.</t>
        </is>
      </c>
      <c r="C108" s="27" t="inlineStr">
        <is>
          <t>Spot-check user + org actions on more than one org.</t>
        </is>
      </c>
      <c r="D108" s="27" t="inlineStr">
        <is>
          <t>All allowed regardless of org.</t>
        </is>
      </c>
      <c r="E108" s="28" t="n"/>
      <c r="F108" s="27" t="n"/>
      <c r="G108" s="28" t="n"/>
    </row>
    <row r="109" ht="42" customHeight="1">
      <c r="A109" s="26" t="inlineStr">
        <is>
          <t>SA3</t>
        </is>
      </c>
      <c r="B109" s="27" t="inlineStr">
        <is>
          <t>As a Super Admin, I want to create users incl. Supervisor and Super Admin.</t>
        </is>
      </c>
      <c r="C109" s="27" t="inlineStr">
        <is>
          <t>Users → Add user → each role.</t>
        </is>
      </c>
      <c r="D109" s="27" t="inlineStr">
        <is>
          <t>Participant/Supervisor/Super Admin options available; account created + invite email.</t>
        </is>
      </c>
      <c r="E109" s="28" t="n"/>
      <c r="F109" s="27" t="n"/>
      <c r="G109" s="28" t="n"/>
    </row>
    <row r="110" ht="42" customHeight="1">
      <c r="A110" s="26" t="inlineStr">
        <is>
          <t>SA4</t>
        </is>
      </c>
      <c r="B110" s="27" t="inlineStr">
        <is>
          <t>As a Super Admin, I want to grant/revoke Admin access.</t>
        </is>
      </c>
      <c r="C110" s="27" t="inlineStr">
        <is>
          <t>Open a user → grant Admin access → check org(s) → save; then uncheck all → save.</t>
        </is>
      </c>
      <c r="D110" s="27" t="inlineStr">
        <is>
          <t>Checking orgs makes an Admin; unchecking all reverts to participant.</t>
        </is>
      </c>
      <c r="E110" s="28" t="n"/>
      <c r="F110" s="27" t="n"/>
      <c r="G110" s="28" t="n"/>
    </row>
    <row r="111" ht="42" customHeight="1">
      <c r="A111" s="26" t="inlineStr">
        <is>
          <t>SA5</t>
        </is>
      </c>
      <c r="B111" s="27" t="inlineStr">
        <is>
          <t>As a Super Admin, I want to create organizations + join codes.</t>
        </is>
      </c>
      <c r="C111" s="27" t="inlineStr">
        <is>
          <t>Organizations → Add organization → set details + join code.</t>
        </is>
      </c>
      <c r="D111" s="27" t="inlineStr">
        <is>
          <t>Org created with its join code.</t>
        </is>
      </c>
      <c r="E111" s="28" t="n"/>
      <c r="F111" s="27" t="n"/>
      <c r="G111" s="28" t="n"/>
    </row>
    <row r="112" ht="42" customHeight="1">
      <c r="A112" s="26" t="inlineStr">
        <is>
          <t>SA6</t>
        </is>
      </c>
      <c r="B112" s="27" t="inlineStr">
        <is>
          <t>As a Super Admin, I want to find users by type.</t>
        </is>
      </c>
      <c r="C112" s="27" t="inlineStr">
        <is>
          <t>Users → role filter pills + search.</t>
        </is>
      </c>
      <c r="D112" s="27" t="inlineStr">
        <is>
          <t>Filter by role with counts; search by name/email across all orgs.</t>
        </is>
      </c>
      <c r="E112" s="28" t="n"/>
      <c r="F112" s="27" t="n"/>
      <c r="G112" s="28" t="n"/>
    </row>
    <row r="113" ht="42" customHeight="1">
      <c r="A113" s="26" t="inlineStr">
        <is>
          <t>SA7</t>
        </is>
      </c>
      <c r="B113" s="27" t="inlineStr">
        <is>
          <t>As a Super Admin, I want to search events.</t>
        </is>
      </c>
      <c r="C113" s="27" t="inlineStr">
        <is>
          <t>Events → search + date range; check supervisor/org per card.</t>
        </is>
      </c>
      <c r="D113" s="27" t="inlineStr">
        <is>
          <t>Filters work; each event shows supervisor and organization.</t>
        </is>
      </c>
      <c r="E113" s="28" t="n"/>
      <c r="F113" s="27" t="n"/>
      <c r="G113" s="28" t="n"/>
    </row>
    <row r="114" ht="42" customHeight="1">
      <c r="A114" s="26" t="inlineStr">
        <is>
          <t>SA8</t>
        </is>
      </c>
      <c r="B114" s="27" t="inlineStr">
        <is>
          <t>As a Super Admin, I want clear event-visibility labels.</t>
        </is>
      </c>
      <c r="C114" s="27" t="inlineStr">
        <is>
          <t>New Event → 'Who can see this'.</t>
        </is>
      </c>
      <c r="D114" s="27" t="inlineStr">
        <is>
          <t>'Open to all (community)' and 'Only &lt;org&gt; students' with helper text.</t>
        </is>
      </c>
      <c r="E114" s="28" t="n"/>
      <c r="F114" s="27" t="n"/>
      <c r="G114" s="28" t="n"/>
    </row>
    <row r="115" ht="42" customHeight="1">
      <c r="A115" s="26" t="inlineStr">
        <is>
          <t>SA9</t>
        </is>
      </c>
      <c r="B115" s="27" t="inlineStr">
        <is>
          <t>As a Super Admin, I want program-wide reports.</t>
        </is>
      </c>
      <c r="C115" s="27" t="inlineStr">
        <is>
          <t>Open Reports / Dashboard.</t>
        </is>
      </c>
      <c r="D115" s="27" t="inlineStr">
        <is>
          <t>Totals and charts across the whole program.</t>
        </is>
      </c>
      <c r="E115" s="28" t="n"/>
      <c r="F115" s="27" t="n"/>
      <c r="G115" s="28" t="n"/>
    </row>
    <row r="116" ht="42" customHeight="1">
      <c r="A116" s="26" t="inlineStr">
        <is>
          <t>SA10</t>
        </is>
      </c>
      <c r="B116" s="27" t="inlineStr">
        <is>
          <t>As a Super Admin, I want to verify email works.</t>
        </is>
      </c>
      <c r="C116" s="27" t="inlineStr">
        <is>
          <t>Dashboard → Send test email.</t>
        </is>
      </c>
      <c r="D116" s="27" t="inlineStr">
        <is>
          <t>Result shown (success or the exact failure reason).</t>
        </is>
      </c>
      <c r="E116" s="28" t="n"/>
      <c r="F116" s="27" t="n"/>
      <c r="G116" s="28" t="n"/>
    </row>
    <row r="117" ht="42" customHeight="1">
      <c r="A117" s="26" t="inlineStr">
        <is>
          <t>SA11</t>
        </is>
      </c>
      <c r="B117" s="27" t="inlineStr">
        <is>
          <t>As a Super Admin, I want to update the recycling cans total.</t>
        </is>
      </c>
      <c r="C117" s="27" t="inlineStr">
        <is>
          <t>Use the cans/bin admin control.</t>
        </is>
      </c>
      <c r="D117" s="27" t="inlineStr">
        <is>
          <t>Total updates; the ribbon reflects it.</t>
        </is>
      </c>
      <c r="E117" s="28" t="n"/>
      <c r="F117" s="27" t="n"/>
      <c r="G117" s="28" t="n"/>
    </row>
    <row r="118" ht="42" customHeight="1">
      <c r="A118" s="26" t="inlineStr">
        <is>
          <t>SA12</t>
        </is>
      </c>
      <c r="B118" s="27" t="inlineStr">
        <is>
          <t>As a Super Admin, I want hours + records for any user.</t>
        </is>
      </c>
      <c r="C118" s="27" t="inlineStr">
        <is>
          <t>Add manual hours / open service record for any participant.</t>
        </is>
      </c>
      <c r="D118" s="27" t="inlineStr">
        <is>
          <t>Works for any org.</t>
        </is>
      </c>
      <c r="E118" s="28" t="n"/>
      <c r="F118" s="27" t="n"/>
      <c r="G118" s="28" t="n"/>
    </row>
    <row r="119" ht="42" customHeight="1">
      <c r="A119" s="26" t="inlineStr">
        <is>
          <t>SA13</t>
        </is>
      </c>
      <c r="B119" s="27" t="inlineStr">
        <is>
          <t>As a Super Admin, I want to set award thresholds by grade band and/or org.</t>
        </is>
      </c>
      <c r="C119" s="27" t="inlineStr">
        <is>
          <t>Award Thresholds → add a rule (e.g. Elementary 20/30/40) → save.</t>
        </is>
      </c>
      <c r="D119" s="27" t="inlineStr">
        <is>
          <t>Rule saved; an affected participant's dashboard/reports show the new bars; leaderboard/record medals follow.</t>
        </is>
      </c>
      <c r="E119" s="28" t="n"/>
      <c r="F119" s="27" t="n"/>
      <c r="G119" s="28" t="n"/>
    </row>
    <row r="120" ht="42" customHeight="1">
      <c r="A120" s="26" t="inlineStr">
        <is>
          <t>SA14</t>
        </is>
      </c>
      <c r="B120" s="27" t="inlineStr">
        <is>
          <t>As a Super Admin, I want an audit log of key actions.</t>
        </is>
      </c>
      <c r="C120" s="27" t="inlineStr">
        <is>
          <t>Do an action (create user, grant hours, edit org) → open Audit Log.</t>
        </is>
      </c>
      <c r="D120" s="27" t="inlineStr">
        <is>
          <t>The action appears with who/when; search + action filters work.</t>
        </is>
      </c>
      <c r="E120" s="28" t="n"/>
      <c r="F120" s="27" t="n"/>
      <c r="G120" s="28" t="n"/>
    </row>
    <row r="121" ht="42" customHeight="1">
      <c r="A121" s="26" t="inlineStr">
        <is>
          <t>SA15</t>
        </is>
      </c>
      <c r="B121" s="27" t="inlineStr">
        <is>
          <t>As a Super Admin, deleting a supervisor who runs events is blocked.</t>
        </is>
      </c>
      <c r="C121" s="27" t="inlineStr">
        <is>
          <t>Try to delete a supervisor who supervises 1+ events.</t>
        </is>
      </c>
      <c r="D121" s="27" t="inlineStr">
        <is>
          <t>Blocked with a clear message to reassign or remove their events first (events/hours preserved).</t>
        </is>
      </c>
      <c r="E121" s="28" t="n"/>
      <c r="F121" s="27" t="n"/>
      <c r="G121" s="28" t="n"/>
    </row>
    <row r="122" ht="42" customHeight="1">
      <c r="A122" s="26" t="inlineStr">
        <is>
          <t>SA16</t>
        </is>
      </c>
      <c r="B122" s="27" t="inlineStr">
        <is>
          <t>As a Super Admin, I want to reassign a supervisor's events, then delete them.</t>
        </is>
      </c>
      <c r="C122" s="27" t="inlineStr">
        <is>
          <t>Users → Reassign events → pick another supervisor → confirm; then delete the original.</t>
        </is>
      </c>
      <c r="D122" s="27" t="inlineStr">
        <is>
          <t>Events move to the new supervisor; the original can then be deleted.</t>
        </is>
      </c>
      <c r="E122" s="28" t="n"/>
      <c r="F122" s="27" t="n"/>
      <c r="G122" s="28" t="n"/>
    </row>
    <row r="123" ht="42" customHeight="1">
      <c r="A123" s="26" t="inlineStr">
        <is>
          <t>SA17</t>
        </is>
      </c>
      <c r="B123" s="27" t="inlineStr">
        <is>
          <t>As a Super Admin, creating a user pre-fills a temp password and emails an invite.</t>
        </is>
      </c>
      <c r="C123" s="27" t="inlineStr">
        <is>
          <t>Add user; note the temp password field is pre-filled (Supervisor123!); save.</t>
        </is>
      </c>
      <c r="D123" s="27" t="inlineStr">
        <is>
          <t>Account created; the person gets a set-password invite email.</t>
        </is>
      </c>
      <c r="E123" s="28" t="n"/>
      <c r="F123" s="27" t="n"/>
      <c r="G123" s="28" t="n"/>
    </row>
    <row r="124" ht="42" customHeight="1">
      <c r="A124" s="26" t="inlineStr">
        <is>
          <t>SA18</t>
        </is>
      </c>
      <c r="B124" s="27" t="inlineStr">
        <is>
          <t>As a Super Admin, I want to assign an org when creating a user.</t>
        </is>
      </c>
      <c r="C124" s="27" t="inlineStr">
        <is>
          <t>Add user → choose an Organization (or 'No specific organization') → save.</t>
        </is>
      </c>
      <c r="D124" s="27" t="inlineStr">
        <is>
          <t>The user is stamped to that org (visible/manageable by that org's Admin).</t>
        </is>
      </c>
      <c r="E124" s="28" t="n"/>
      <c r="F124" s="27" t="n"/>
      <c r="G124" s="28" t="n"/>
    </row>
    <row r="125" ht="20" customHeight="1">
      <c r="A125" s="24" t="inlineStr">
        <is>
          <t>Cross-cutting</t>
        </is>
      </c>
      <c r="B125" s="25" t="n"/>
      <c r="C125" s="25" t="n"/>
      <c r="D125" s="25" t="n"/>
      <c r="E125" s="25" t="n"/>
      <c r="F125" s="25" t="n"/>
      <c r="G125" s="25" t="n"/>
    </row>
    <row r="126" ht="42" customHeight="1">
      <c r="A126" s="26" t="inlineStr">
        <is>
          <t>X1</t>
        </is>
      </c>
      <c r="B126" s="27" t="inlineStr">
        <is>
          <t>As a phone user, I want a usable mobile layout.</t>
        </is>
      </c>
      <c r="C126" s="27" t="inlineStr">
        <is>
          <t>Open at phone width; use the menu drawer.</t>
        </is>
      </c>
      <c r="D126" s="27" t="inlineStr">
        <is>
          <t>Layout adapts; drawer opens/closes; no horizontal scroll.</t>
        </is>
      </c>
      <c r="E126" s="28" t="n"/>
      <c r="F126" s="27" t="n"/>
      <c r="G126" s="28" t="n"/>
    </row>
    <row r="127" ht="42" customHeight="1">
      <c r="A127" s="26" t="inlineStr">
        <is>
          <t>X2</t>
        </is>
      </c>
      <c r="B127" s="27" t="inlineStr">
        <is>
          <t>As a visitor, I want the recycling ribbon on the login page.</t>
        </is>
      </c>
      <c r="C127" s="27" t="inlineStr">
        <is>
          <t>Open login signed out.</t>
        </is>
      </c>
      <c r="D127" s="27" t="inlineStr">
        <is>
          <t>Green ribbon shows on login.</t>
        </is>
      </c>
      <c r="E127" s="28" t="n"/>
      <c r="F127" s="27" t="n"/>
      <c r="G127" s="28" t="n"/>
    </row>
  </sheetData>
  <mergeCells count="9">
    <mergeCell ref="A89:G89"/>
    <mergeCell ref="A58:G58"/>
    <mergeCell ref="A1:G1"/>
    <mergeCell ref="A106:G106"/>
    <mergeCell ref="A3:G3"/>
    <mergeCell ref="A35:G35"/>
    <mergeCell ref="A125:G125"/>
    <mergeCell ref="A64:G64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7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9:E63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65:E88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90:E10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107:E124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26:E127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7 E59:E63 E65:E88 E90:E105 E107:E124 E126:E127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Android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PE16</t>
        </is>
      </c>
      <c r="B49" s="27" t="inlineStr">
        <is>
          <t>As a parent, I want to browse/search opportunities for my child (upcoming &amp; past).</t>
        </is>
      </c>
      <c r="C49" s="27" t="inlineStr">
        <is>
          <t>Find Opportunities with the child selected; use search and the upcoming/past views.</t>
        </is>
      </c>
      <c r="D49" s="27" t="inlineStr">
        <is>
          <t>Same event list a participant sees, scoped to the child's grade/org.</t>
        </is>
      </c>
      <c r="E49" s="28" t="n"/>
      <c r="F49" s="27" t="n"/>
      <c r="G49" s="28" t="n"/>
    </row>
    <row r="50" ht="42" customHeight="1">
      <c r="A50" s="26" t="inlineStr">
        <is>
          <t>PE17</t>
        </is>
      </c>
      <c r="B50" s="27" t="inlineStr">
        <is>
          <t>As a parent, I want to withdraw my child from an event.</t>
        </is>
      </c>
      <c r="C50" s="27" t="inlineStr">
        <is>
          <t>Open the child's upcoming events → withdraw.</t>
        </is>
      </c>
      <c r="D50" s="27" t="inlineStr">
        <is>
          <t>The child is removed; the slot frees up.</t>
        </is>
      </c>
      <c r="E50" s="28" t="n"/>
      <c r="F50" s="27" t="n"/>
      <c r="G50" s="28" t="n"/>
    </row>
    <row r="51" ht="42" customHeight="1">
      <c r="A51" s="26" t="inlineStr">
        <is>
          <t>PE18</t>
        </is>
      </c>
      <c r="B51" s="27" t="inlineStr">
        <is>
          <t>As a parent, I want to check my child in on event day.</t>
        </is>
      </c>
      <c r="C51" s="27" t="inlineStr">
        <is>
          <t>On the event day within the window, check the child in.</t>
        </is>
      </c>
      <c r="D51" s="27" t="inlineStr">
        <is>
          <t>Check-in succeeds for the child.</t>
        </is>
      </c>
      <c r="E51" s="28" t="n"/>
      <c r="F51" s="27" t="n"/>
      <c r="G51" s="28" t="n"/>
    </row>
    <row r="52" ht="42" customHeight="1">
      <c r="A52" s="26" t="inlineStr">
        <is>
          <t>PE19</t>
        </is>
      </c>
      <c r="B52" s="27" t="inlineStr">
        <is>
          <t>As a parent, I want to see my child's medal progress.</t>
        </is>
      </c>
      <c r="C52" s="27" t="inlineStr">
        <is>
          <t>Open the dashboard / child card.</t>
        </is>
      </c>
      <c r="D52" s="27" t="inlineStr">
        <is>
          <t>Progress uses the child's grade-based thresholds (e.g. lower bar for younger grades).</t>
        </is>
      </c>
      <c r="E52" s="28" t="n"/>
      <c r="F52" s="27" t="n"/>
      <c r="G52" s="28" t="n"/>
    </row>
    <row r="53" ht="42" customHeight="1">
      <c r="A53" s="26" t="inlineStr">
        <is>
          <t>PE20</t>
        </is>
      </c>
      <c r="B53" s="27" t="inlineStr">
        <is>
          <t>As a parent, external &gt;5h for my child requires proof.</t>
        </is>
      </c>
      <c r="C53" s="27" t="inlineStr">
        <is>
          <t>Outside hours for the child, over 5 hours, without then with a proof file.</t>
        </is>
      </c>
      <c r="D53" s="27" t="inlineStr">
        <is>
          <t>Blocked without proof; submits with a photo/letter.</t>
        </is>
      </c>
      <c r="E53" s="28" t="n"/>
      <c r="F53" s="27" t="n"/>
      <c r="G53" s="28" t="n"/>
    </row>
    <row r="54" ht="42" customHeight="1">
      <c r="A54" s="26" t="inlineStr">
        <is>
          <t>PE14</t>
        </is>
      </c>
      <c r="B54" s="27" t="inlineStr">
        <is>
          <t>As a parent, I want to log my child's outside/nonprofit volunteering.</t>
        </is>
      </c>
      <c r="C54" s="27" t="inlineStr">
        <is>
          <t>Child card → 'Outside hours' → fill activity, org, date, hours, supervisor → Submit.</t>
        </is>
      </c>
      <c r="D54" s="27" t="inlineStr">
        <is>
          <t>External hours submitted for the child and sent for supervisor approval (proof required over 5h).</t>
        </is>
      </c>
      <c r="E54" s="28" t="n"/>
      <c r="F54" s="27" t="n"/>
      <c r="G54" s="28" t="n"/>
    </row>
    <row r="55" ht="42" customHeight="1">
      <c r="A55" s="26" t="inlineStr">
        <is>
          <t>PE15</t>
        </is>
      </c>
      <c r="B55" s="27" t="inlineStr">
        <is>
          <t>As a parent, I want my child's verified service record.</t>
        </is>
      </c>
      <c r="C55" s="27" t="inlineStr">
        <is>
          <t>Child card → 'Service record'.</t>
        </is>
      </c>
      <c r="D55" s="27" t="inlineStr">
        <is>
          <t>The child's itemized record opens; Print / Save-as-PDF works.</t>
        </is>
      </c>
      <c r="E55" s="28" t="n"/>
      <c r="F55" s="27" t="n"/>
      <c r="G55" s="28" t="n"/>
    </row>
    <row r="56" ht="42" customHeight="1">
      <c r="A56" s="26" t="inlineStr">
        <is>
          <t>PE22</t>
        </is>
      </c>
      <c r="B56" s="27" t="inlineStr">
        <is>
          <t>As a parent, I want to be emailed when my child's hours are reviewed.</t>
        </is>
      </c>
      <c r="C56" s="27" t="inlineStr">
        <is>
          <t>Have a supervisor approve then reject a submission for a managed child.</t>
        </is>
      </c>
      <c r="D56" s="27" t="inlineStr">
        <is>
          <t>You (the guardian) receive the approved / needs-attention emails, even though the child has no email of their own.</t>
        </is>
      </c>
      <c r="E56" s="28" t="n"/>
      <c r="F56" s="27" t="n"/>
      <c r="G56" s="28" t="n"/>
    </row>
    <row r="57" ht="42" customHeight="1">
      <c r="A57" s="26" t="inlineStr">
        <is>
          <t>PE23</t>
        </is>
      </c>
      <c r="B57" s="27" t="inlineStr">
        <is>
          <t>As a parent, I want to edit my child's details.</t>
        </is>
      </c>
      <c r="C57" s="27" t="inlineStr">
        <is>
          <t>Child card → Edit → change name/grade/school → save.</t>
        </is>
      </c>
      <c r="D57" s="27" t="inlineStr">
        <is>
          <t>Changes save for the managed child.</t>
        </is>
      </c>
      <c r="E57" s="28" t="n"/>
      <c r="F57" s="27" t="n"/>
      <c r="G57" s="28" t="n"/>
    </row>
    <row r="58" ht="20" customHeight="1">
      <c r="A58" s="24" t="inlineStr">
        <is>
          <t>Parent — viewer (grades 6–12 student)</t>
        </is>
      </c>
      <c r="B58" s="25" t="n"/>
      <c r="C58" s="25" t="n"/>
      <c r="D58" s="25" t="n"/>
      <c r="E58" s="25" t="n"/>
      <c r="F58" s="25" t="n"/>
      <c r="G58" s="25" t="n"/>
    </row>
    <row r="59" ht="42" customHeight="1">
      <c r="A59" s="26" t="inlineStr">
        <is>
          <t>PV1</t>
        </is>
      </c>
      <c r="B59" s="27" t="inlineStr">
        <is>
          <t>As a parent of a 6–12 student, I want to register for view-only access.</t>
        </is>
      </c>
      <c r="C59" s="27" t="inlineStr">
        <is>
          <t>Create account → parent of a 6–12 student.</t>
        </is>
      </c>
      <c r="D59" s="27" t="inlineStr">
        <is>
          <t>Account created; no invite required to register.</t>
        </is>
      </c>
      <c r="E59" s="28" t="n"/>
      <c r="F59" s="27" t="n"/>
      <c r="G59" s="28" t="n"/>
    </row>
    <row r="60" ht="42" customHeight="1">
      <c r="A60" s="26" t="inlineStr">
        <is>
          <t>PV2</t>
        </is>
      </c>
      <c r="B60" s="27" t="inlineStr">
        <is>
          <t>As a viewer parent, my student links automatically by email.</t>
        </is>
      </c>
      <c r="C60" s="27" t="inlineStr">
        <is>
          <t>Have a student enter this exact email as their parent email (before or after you register).</t>
        </is>
      </c>
      <c r="D60" s="27" t="inlineStr">
        <is>
          <t>The student appears on your dashboard automatically; empty until then.</t>
        </is>
      </c>
      <c r="E60" s="28" t="n"/>
      <c r="F60" s="27" t="n"/>
      <c r="G60" s="28" t="n"/>
    </row>
    <row r="61" ht="42" customHeight="1">
      <c r="A61" s="26" t="inlineStr">
        <is>
          <t>PV3</t>
        </is>
      </c>
      <c r="B61" s="27" t="inlineStr">
        <is>
          <t>As a viewer parent, I want to see my student's schedule/progress.</t>
        </is>
      </c>
      <c r="C61" s="27" t="inlineStr">
        <is>
          <t>Open the dashboard.</t>
        </is>
      </c>
      <c r="D61" s="27" t="inlineStr">
        <is>
          <t>View-only schedule and progress.</t>
        </is>
      </c>
      <c r="E61" s="28" t="n"/>
      <c r="F61" s="27" t="n"/>
      <c r="G61" s="28" t="n"/>
    </row>
    <row r="62" ht="42" customHeight="1">
      <c r="A62" s="26" t="inlineStr">
        <is>
          <t>PV4</t>
        </is>
      </c>
      <c r="B62" s="27" t="inlineStr">
        <is>
          <t>As a viewer parent, I do NOT sign the student up.</t>
        </is>
      </c>
      <c r="C62" s="27" t="inlineStr">
        <is>
          <t>Look for a sign-up action.</t>
        </is>
      </c>
      <c r="D62" s="27" t="inlineStr">
        <is>
          <t>No sign-up on the student's behalf — the student self-serves.</t>
        </is>
      </c>
      <c r="E62" s="28" t="n"/>
      <c r="F62" s="27" t="n"/>
      <c r="G62" s="28" t="n"/>
    </row>
    <row r="63" ht="42" customHeight="1">
      <c r="A63" s="26" t="inlineStr">
        <is>
          <t>PV5</t>
        </is>
      </c>
      <c r="B63" s="27" t="inlineStr">
        <is>
          <t>As a viewer parent, I want to invite a co-guardian.</t>
        </is>
      </c>
      <c r="C63" s="27" t="inlineStr">
        <is>
          <t>Invite a co-guardian by email.</t>
        </is>
      </c>
      <c r="D63" s="27" t="inlineStr">
        <is>
          <t>Invite email sent; shared access on registration.</t>
        </is>
      </c>
      <c r="E63" s="28" t="n"/>
      <c r="F63" s="27" t="n"/>
      <c r="G63" s="28" t="n"/>
    </row>
    <row r="64" ht="20" customHeight="1">
      <c r="A64" s="24" t="inlineStr">
        <is>
          <t>Supervisor (created by an Admin)</t>
        </is>
      </c>
      <c r="B64" s="25" t="n"/>
      <c r="C64" s="25" t="n"/>
      <c r="D64" s="25" t="n"/>
      <c r="E64" s="25" t="n"/>
      <c r="F64" s="25" t="n"/>
      <c r="G64" s="25" t="n"/>
    </row>
    <row r="65" ht="42" customHeight="1">
      <c r="A65" s="26" t="inlineStr">
        <is>
          <t>SV1</t>
        </is>
      </c>
      <c r="B65" s="27" t="inlineStr">
        <is>
          <t>As the program, a supervisor cannot self-register.</t>
        </is>
      </c>
      <c r="C65" s="27" t="inlineStr">
        <is>
          <t>Review the sign-up options.</t>
        </is>
      </c>
      <c r="D65" s="27" t="inlineStr">
        <is>
          <t>No supervisor option exists on registration.</t>
        </is>
      </c>
      <c r="E65" s="28" t="n"/>
      <c r="F65" s="27" t="n"/>
      <c r="G65" s="28" t="n"/>
    </row>
    <row r="66" ht="42" customHeight="1">
      <c r="A66" s="26" t="inlineStr">
        <is>
          <t>SV2</t>
        </is>
      </c>
      <c r="B66" s="27" t="inlineStr">
        <is>
          <t>As a new supervisor, I get an invite to set my password.</t>
        </is>
      </c>
      <c r="C66" s="27" t="inlineStr">
        <is>
          <t>Have an Admin create your account; open the invite email; set password; sign in.</t>
        </is>
      </c>
      <c r="D66" s="27" t="inlineStr">
        <is>
          <t>Invite email arrives with a working set-password link; you can sign in.</t>
        </is>
      </c>
      <c r="E66" s="28" t="n"/>
      <c r="F66" s="27" t="n"/>
      <c r="G66" s="28" t="n"/>
    </row>
    <row r="67" ht="42" customHeight="1">
      <c r="A67" s="26" t="inlineStr">
        <is>
          <t>SV3</t>
        </is>
      </c>
      <c r="B67" s="27" t="inlineStr">
        <is>
          <t>As a supervisor, I want the correct 7 left-menu tabs.</t>
        </is>
      </c>
      <c r="C67" s="27" t="inlineStr">
        <is>
          <t>Look at the left menu.</t>
        </is>
      </c>
      <c r="D67" s="27" t="inlineStr">
        <is>
          <t>Dashboard, Pending Reviews, Reviewed History, My Events, All Opportunities, My Hours, Help.</t>
        </is>
      </c>
      <c r="E67" s="28" t="n"/>
      <c r="F67" s="27" t="n"/>
      <c r="G67" s="28" t="n"/>
    </row>
    <row r="68" ht="42" customHeight="1">
      <c r="A68" s="26" t="inlineStr">
        <is>
          <t>SV4</t>
        </is>
      </c>
      <c r="B68" s="27" t="inlineStr">
        <is>
          <t>As a supervisor, I want a dashboard.</t>
        </is>
      </c>
      <c r="C68" s="27" t="inlineStr">
        <is>
          <t>Open the dashboard.</t>
        </is>
      </c>
      <c r="D68" s="27" t="inlineStr">
        <is>
          <t>Review queue, approved/rejected counts, registrations, hours, upcoming events + Roster links.</t>
        </is>
      </c>
      <c r="E68" s="28" t="n"/>
      <c r="F68" s="27" t="n"/>
      <c r="G68" s="28" t="n"/>
    </row>
    <row r="69" ht="42" customHeight="1">
      <c r="A69" s="26" t="inlineStr">
        <is>
          <t>SV5</t>
        </is>
      </c>
      <c r="B69" s="27" t="inlineStr">
        <is>
          <t>As a supervisor, I want to approve hours.</t>
        </is>
      </c>
      <c r="C69" s="27" t="inlineStr">
        <is>
          <t>Pending Reviews → open → Approve.</t>
        </is>
      </c>
      <c r="D69" s="27" t="inlineStr">
        <is>
          <t>Approved; moves to Reviewed History; participant total updates; email sent.</t>
        </is>
      </c>
      <c r="E69" s="28" t="n"/>
      <c r="F69" s="27" t="n"/>
      <c r="G69" s="28" t="n"/>
    </row>
    <row r="70" ht="42" customHeight="1">
      <c r="A70" s="26" t="inlineStr">
        <is>
          <t>SV6</t>
        </is>
      </c>
      <c r="B70" s="27" t="inlineStr">
        <is>
          <t>As a supervisor, I want to reject hours with a reason.</t>
        </is>
      </c>
      <c r="C70" s="27" t="inlineStr">
        <is>
          <t>Reject without a reason, then with one.</t>
        </is>
      </c>
      <c r="D70" s="27" t="inlineStr">
        <is>
          <t>Blocked until a reason is given; then rejected and the participant notified.</t>
        </is>
      </c>
      <c r="E70" s="28" t="n"/>
      <c r="F70" s="27" t="n"/>
      <c r="G70" s="28" t="n"/>
    </row>
    <row r="71" ht="42" customHeight="1">
      <c r="A71" s="26" t="inlineStr">
        <is>
          <t>SV7</t>
        </is>
      </c>
      <c r="B71" s="27" t="inlineStr">
        <is>
          <t>As a supervisor, I want to review external submissions.</t>
        </is>
      </c>
      <c r="C71" s="27" t="inlineStr">
        <is>
          <t>Pending Reviews → external tab → approve/reject.</t>
        </is>
      </c>
      <c r="D71" s="27" t="inlineStr">
        <is>
          <t>External items reviewable, including any proof.</t>
        </is>
      </c>
      <c r="E71" s="28" t="n"/>
      <c r="F71" s="27" t="n"/>
      <c r="G71" s="28" t="n"/>
    </row>
    <row r="72" ht="42" customHeight="1">
      <c r="A72" s="26" t="inlineStr">
        <is>
          <t>SV8</t>
        </is>
      </c>
      <c r="B72" s="27" t="inlineStr">
        <is>
          <t>As a supervisor, I want to create an event.</t>
        </is>
      </c>
      <c r="C72" s="27" t="inlineStr">
        <is>
          <t>New Event → title, description, slot, address, date, times, capacity, grade limits → save.</t>
        </is>
      </c>
      <c r="D72" s="27" t="inlineStr">
        <is>
          <t>Credit auto-calculated from times; event created in My Events.</t>
        </is>
      </c>
      <c r="E72" s="28" t="n"/>
      <c r="F72" s="27" t="n"/>
      <c r="G72" s="28" t="n"/>
    </row>
    <row r="73" ht="42" customHeight="1">
      <c r="A73" s="26" t="inlineStr">
        <is>
          <t>SV9</t>
        </is>
      </c>
      <c r="B73" s="27" t="inlineStr">
        <is>
          <t>As a supervisor, I want to edit an event.</t>
        </is>
      </c>
      <c r="C73" s="27" t="inlineStr">
        <is>
          <t>My Events → edit → save.</t>
        </is>
      </c>
      <c r="D73" s="27" t="inlineStr">
        <is>
          <t>Changes persist and show to participants.</t>
        </is>
      </c>
      <c r="E73" s="28" t="n"/>
      <c r="F73" s="27" t="n"/>
      <c r="G73" s="28" t="n"/>
    </row>
    <row r="74" ht="42" customHeight="1">
      <c r="A74" s="26" t="inlineStr">
        <is>
          <t>SV10</t>
        </is>
      </c>
      <c r="B74" s="27" t="inlineStr">
        <is>
          <t>As a supervisor, I want to delete an event with no approved hours.</t>
        </is>
      </c>
      <c r="C74" s="27" t="inlineStr">
        <is>
          <t>Delete such an event → confirm.</t>
        </is>
      </c>
      <c r="D74" s="27" t="inlineStr">
        <is>
          <t>Event deleted.</t>
        </is>
      </c>
      <c r="E74" s="28" t="n"/>
      <c r="F74" s="27" t="n"/>
      <c r="G74" s="28" t="n"/>
    </row>
    <row r="75" ht="42" customHeight="1">
      <c r="A75" s="26" t="inlineStr">
        <is>
          <t>SV11</t>
        </is>
      </c>
      <c r="B75" s="27" t="inlineStr">
        <is>
          <t>As a supervisor, deleting an event with approved hours is blocked.</t>
        </is>
      </c>
      <c r="C75" s="27" t="inlineStr">
        <is>
          <t>Try to delete an event that has approved hours.</t>
        </is>
      </c>
      <c r="D75" s="27" t="inlineStr">
        <is>
          <t>Blocked with a message that approved hours must be preserved.</t>
        </is>
      </c>
      <c r="E75" s="28" t="n"/>
      <c r="F75" s="27" t="n"/>
      <c r="G75" s="28" t="n"/>
    </row>
    <row r="76" ht="42" customHeight="1">
      <c r="A76" s="26" t="inlineStr">
        <is>
          <t>SV12</t>
        </is>
      </c>
      <c r="B76" s="27" t="inlineStr">
        <is>
          <t>As a supervisor, I want to see who signed up.</t>
        </is>
      </c>
      <c r="C76" s="27" t="inlineStr">
        <is>
          <t>Open the event Roster.</t>
        </is>
      </c>
      <c r="D76" s="27" t="inlineStr">
        <is>
          <t>Registrants listed with grade and status.</t>
        </is>
      </c>
      <c r="E76" s="28" t="n"/>
      <c r="F76" s="27" t="n"/>
      <c r="G76" s="28" t="n"/>
    </row>
    <row r="77" ht="42" customHeight="1">
      <c r="A77" s="26" t="inlineStr">
        <is>
          <t>SV13</t>
        </is>
      </c>
      <c r="B77" s="27" t="inlineStr">
        <is>
          <t>As a supervisor, I want to check people in / mark no-show.</t>
        </is>
      </c>
      <c r="C77" s="27" t="inlineStr">
        <is>
          <t>On the roster, Check in and Mark no-show.</t>
        </is>
      </c>
      <c r="D77" s="27" t="inlineStr">
        <is>
          <t>Status updates and persists.</t>
        </is>
      </c>
      <c r="E77" s="28" t="n"/>
      <c r="F77" s="27" t="n"/>
      <c r="G77" s="28" t="n"/>
    </row>
    <row r="78" ht="42" customHeight="1">
      <c r="A78" s="26" t="inlineStr">
        <is>
          <t>SV14</t>
        </is>
      </c>
      <c r="B78" s="27" t="inlineStr">
        <is>
          <t>As a supervisor, I want to message everyone signed up.</t>
        </is>
      </c>
      <c r="C78" s="27" t="inlineStr">
        <is>
          <t>Roster → Message attendees → subject+message → send (include guardians on).</t>
        </is>
      </c>
      <c r="D78" s="27" t="inlineStr">
        <is>
          <t>Each registrant (and guardians) emailed individually; recipient count shown.</t>
        </is>
      </c>
      <c r="E78" s="28" t="n"/>
      <c r="F78" s="27" t="n"/>
      <c r="G78" s="28" t="n"/>
    </row>
    <row r="79" ht="42" customHeight="1">
      <c r="A79" s="26" t="inlineStr">
        <is>
          <t>SV15</t>
        </is>
      </c>
      <c r="B79" s="27" t="inlineStr">
        <is>
          <t>As a supervisor, I want a history of what I reviewed.</t>
        </is>
      </c>
      <c r="C79" s="27" t="inlineStr">
        <is>
          <t>Open Reviewed History.</t>
        </is>
      </c>
      <c r="D79" s="27" t="inlineStr">
        <is>
          <t>Every approved/rejected item with dates and volunteers.</t>
        </is>
      </c>
      <c r="E79" s="28" t="n"/>
      <c r="F79" s="27" t="n"/>
      <c r="G79" s="28" t="n"/>
    </row>
    <row r="80" ht="42" customHeight="1">
      <c r="A80" s="26" t="inlineStr">
        <is>
          <t>SV16</t>
        </is>
      </c>
      <c r="B80" s="27" t="inlineStr">
        <is>
          <t>As a supervisor, I want to browse all opportunities view-only.</t>
        </is>
      </c>
      <c r="C80" s="27" t="inlineStr">
        <is>
          <t>All Opportunities → search / upcoming-past.</t>
        </is>
      </c>
      <c r="D80" s="27" t="inlineStr">
        <is>
          <t>Every event listed read-only; can't edit others' events.</t>
        </is>
      </c>
      <c r="E80" s="28" t="n"/>
      <c r="F80" s="27" t="n"/>
      <c r="G80" s="28" t="n"/>
    </row>
    <row r="81" ht="42" customHeight="1">
      <c r="A81" s="26" t="inlineStr">
        <is>
          <t>SV17</t>
        </is>
      </c>
      <c r="B81" s="27" t="inlineStr">
        <is>
          <t>As a supervisor, I want to log my own adult hours.</t>
        </is>
      </c>
      <c r="C81" s="27" t="inlineStr">
        <is>
          <t>My Hours → log an activity, date, hours → save.</t>
        </is>
      </c>
      <c r="D81" s="27" t="inlineStr">
        <is>
          <t>Recorded instantly with a running total; clearly NOT part of the student competition.</t>
        </is>
      </c>
      <c r="E81" s="28" t="n"/>
      <c r="F81" s="27" t="n"/>
      <c r="G81" s="28" t="n"/>
    </row>
    <row r="82" ht="42" customHeight="1">
      <c r="A82" s="26" t="inlineStr">
        <is>
          <t>SV18</t>
        </is>
      </c>
      <c r="B82" s="27" t="inlineStr">
        <is>
          <t>As a supervisor, I want to delete an adult-hours entry.</t>
        </is>
      </c>
      <c r="C82" s="27" t="inlineStr">
        <is>
          <t>My Hours → delete an entry → confirm.</t>
        </is>
      </c>
      <c r="D82" s="27" t="inlineStr">
        <is>
          <t>Removed; total updates.</t>
        </is>
      </c>
      <c r="E82" s="28" t="n"/>
      <c r="F82" s="27" t="n"/>
      <c r="G82" s="28" t="n"/>
    </row>
    <row r="83" ht="42" customHeight="1">
      <c r="A83" s="26" t="inlineStr">
        <is>
          <t>SV19</t>
        </is>
      </c>
      <c r="B83" s="27" t="inlineStr">
        <is>
          <t>As a supervisor, I must NOT access user or org management.</t>
        </is>
      </c>
      <c r="C83" s="27" t="inlineStr">
        <is>
          <t>Look for Users / Organizations in the menu.</t>
        </is>
      </c>
      <c r="D83" s="27" t="inlineStr">
        <is>
          <t>Those tabs are absent; direct URLs are blocked.</t>
        </is>
      </c>
      <c r="E83" s="28" t="n"/>
      <c r="F83" s="27" t="n"/>
      <c r="G83" s="28" t="n"/>
    </row>
    <row r="84" ht="42" customHeight="1">
      <c r="A84" s="26" t="inlineStr">
        <is>
          <t>SV20</t>
        </is>
      </c>
      <c r="B84" s="27" t="inlineStr">
        <is>
          <t>As a supervisor, I want to attach files to a message.</t>
        </is>
      </c>
      <c r="C84" s="27" t="inlineStr">
        <is>
          <t>Roster → Message attendees → add an image/PDF (≤10 MB) → send.</t>
        </is>
      </c>
      <c r="D84" s="27" t="inlineStr">
        <is>
          <t>The attachment uploads, appears in the dialog, and arrives with the email.</t>
        </is>
      </c>
      <c r="E84" s="28" t="n"/>
      <c r="F84" s="27" t="n"/>
      <c r="G84" s="28" t="n"/>
    </row>
    <row r="85" ht="42" customHeight="1">
      <c r="A85" s="26" t="inlineStr">
        <is>
          <t>SV21</t>
        </is>
      </c>
      <c r="B85" s="27" t="inlineStr">
        <is>
          <t>As a supervisor, I want an email when someone signs up.</t>
        </is>
      </c>
      <c r="C85" s="27" t="inlineStr">
        <is>
          <t>Have a participant sign up for your event (with notifications on).</t>
        </is>
      </c>
      <c r="D85" s="27" t="inlineStr">
        <is>
          <t>You receive a sign-up email; toggling notifications off stops them.</t>
        </is>
      </c>
      <c r="E85" s="28" t="n"/>
      <c r="F85" s="27" t="n"/>
      <c r="G85" s="28" t="n"/>
    </row>
    <row r="86" ht="42" customHeight="1">
      <c r="A86" s="26" t="inlineStr">
        <is>
          <t>SV22</t>
        </is>
      </c>
      <c r="B86" s="27" t="inlineStr">
        <is>
          <t>As a supervisor, I want to verify who's a real member before sharing access.</t>
        </is>
      </c>
      <c r="C86" s="27" t="inlineStr">
        <is>
          <t>Open the Roster and read the attendee badges.</t>
        </is>
      </c>
      <c r="D86" s="27" t="inlineStr">
        <is>
          <t>Each shows their org, or 'Community · unverified'; a warning reminds you to confirm before sharing a building QR.</t>
        </is>
      </c>
      <c r="E86" s="28" t="n"/>
      <c r="F86" s="27" t="n"/>
      <c r="G86" s="28" t="n"/>
    </row>
    <row r="87" ht="42" customHeight="1">
      <c r="A87" s="26" t="inlineStr">
        <is>
          <t>SV23</t>
        </is>
      </c>
      <c r="B87" s="27" t="inlineStr">
        <is>
          <t>As a supervisor, I want to add a specific student to my event by email.</t>
        </is>
      </c>
      <c r="C87" s="27" t="inlineStr">
        <is>
          <t>Roster → Add a participant → enter their account email → Add.</t>
        </is>
      </c>
      <c r="D87" s="27" t="inlineStr">
        <is>
          <t>They're registered and emailed ('added to &lt;event&gt;'); it appears in their schedule. Works even for a student from another org (you vouch), without opening the event.</t>
        </is>
      </c>
      <c r="E87" s="28" t="n"/>
      <c r="F87" s="27" t="n"/>
      <c r="G87" s="28" t="n"/>
    </row>
    <row r="88" ht="42" customHeight="1">
      <c r="A88" s="26" t="inlineStr">
        <is>
          <t>SV24</t>
        </is>
      </c>
      <c r="B88" s="27" t="inlineStr">
        <is>
          <t>As the program, a gated event stays closed to non-members who aren't added.</t>
        </is>
      </c>
      <c r="C88" s="27" t="inlineStr">
        <is>
          <t>As a student not in the org, look for the gated event.</t>
        </is>
      </c>
      <c r="D88" s="27" t="inlineStr">
        <is>
          <t>It never appears for self sign-up; only a supervisor can add them.</t>
        </is>
      </c>
      <c r="E88" s="28" t="n"/>
      <c r="F88" s="27" t="n"/>
      <c r="G88" s="28" t="n"/>
    </row>
    <row r="89" ht="20" customHeight="1">
      <c r="A89" s="24" t="inlineStr">
        <is>
          <t>Admin (org-scoped)</t>
        </is>
      </c>
      <c r="B89" s="25" t="n"/>
      <c r="C89" s="25" t="n"/>
      <c r="D89" s="25" t="n"/>
      <c r="E89" s="25" t="n"/>
      <c r="F89" s="25" t="n"/>
      <c r="G89" s="25" t="n"/>
    </row>
    <row r="90" ht="42" customHeight="1">
      <c r="A90" s="26" t="inlineStr">
        <is>
          <t>AD1</t>
        </is>
      </c>
      <c r="B90" s="27" t="inlineStr">
        <is>
          <t>As an Admin, I want the correct menu tabs.</t>
        </is>
      </c>
      <c r="C90" s="27" t="inlineStr">
        <is>
          <t>Look at the left menu.</t>
        </is>
      </c>
      <c r="D90" s="27" t="inlineStr">
        <is>
          <t>Dashboard, Pending Reviews, Reviewed History, My Events, All Opportunities, Users, Organizations, My Hours, Help.</t>
        </is>
      </c>
      <c r="E90" s="28" t="n"/>
      <c r="F90" s="27" t="n"/>
      <c r="G90" s="28" t="n"/>
    </row>
    <row r="91" ht="42" customHeight="1">
      <c r="A91" s="26" t="inlineStr">
        <is>
          <t>AD2</t>
        </is>
      </c>
      <c r="B91" s="27" t="inlineStr">
        <is>
          <t>As an Admin, I can do everything a supervisor can.</t>
        </is>
      </c>
      <c r="C91" s="27" t="inlineStr">
        <is>
          <t>Spot-check: approve an item and create an event.</t>
        </is>
      </c>
      <c r="D91" s="27" t="inlineStr">
        <is>
          <t>Both work.</t>
        </is>
      </c>
      <c r="E91" s="28" t="n"/>
      <c r="F91" s="27" t="n"/>
      <c r="G91" s="28" t="n"/>
    </row>
    <row r="92" ht="42" customHeight="1">
      <c r="A92" s="26" t="inlineStr">
        <is>
          <t>AD3</t>
        </is>
      </c>
      <c r="B92" s="27" t="inlineStr">
        <is>
          <t>As an Admin, I only see my org's non-admin users.</t>
        </is>
      </c>
      <c r="C92" s="27" t="inlineStr">
        <is>
          <t>Open Users.</t>
        </is>
      </c>
      <c r="D92" s="27" t="inlineStr">
        <is>
          <t>Only participants/parents/supervisors in your org; no admins/super admins; no other orgs.</t>
        </is>
      </c>
      <c r="E92" s="28" t="n"/>
      <c r="F92" s="27" t="n"/>
      <c r="G92" s="28" t="n"/>
    </row>
    <row r="93" ht="42" customHeight="1">
      <c r="A93" s="26" t="inlineStr">
        <is>
          <t>AD4</t>
        </is>
      </c>
      <c r="B93" s="27" t="inlineStr">
        <is>
          <t>As an Admin, I want to add a supervisor.</t>
        </is>
      </c>
      <c r="C93" s="27" t="inlineStr">
        <is>
          <t>Users → Add user → Supervisor → save.</t>
        </is>
      </c>
      <c r="D93" s="27" t="inlineStr">
        <is>
          <t>Supervisor created, stamped to your org; invite email sent.</t>
        </is>
      </c>
      <c r="E93" s="28" t="n"/>
      <c r="F93" s="27" t="n"/>
      <c r="G93" s="28" t="n"/>
    </row>
    <row r="94" ht="42" customHeight="1">
      <c r="A94" s="26" t="inlineStr">
        <is>
          <t>AD5</t>
        </is>
      </c>
      <c r="B94" s="27" t="inlineStr">
        <is>
          <t>As an Admin, I want to create a participant as a fallback.</t>
        </is>
      </c>
      <c r="C94" s="27" t="inlineStr">
        <is>
          <t>Users → Add user → Participant → save.</t>
        </is>
      </c>
      <c r="D94" s="27" t="inlineStr">
        <is>
          <t>Participant created with a set-password invite (no silent password).</t>
        </is>
      </c>
      <c r="E94" s="28" t="n"/>
      <c r="F94" s="27" t="n"/>
      <c r="G94" s="28" t="n"/>
    </row>
    <row r="95" ht="42" customHeight="1">
      <c r="A95" s="26" t="inlineStr">
        <is>
          <t>AD6</t>
        </is>
      </c>
      <c r="B95" s="27" t="inlineStr">
        <is>
          <t>As an Admin, I want to grant participant hours.</t>
        </is>
      </c>
      <c r="C95" s="27" t="inlineStr">
        <is>
          <t>Open a participant in your org → Add hours.</t>
        </is>
      </c>
      <c r="D95" s="27" t="inlineStr">
        <is>
          <t>Hours auto-approved; count toward their total/medals.</t>
        </is>
      </c>
      <c r="E95" s="28" t="n"/>
      <c r="F95" s="27" t="n"/>
      <c r="G95" s="28" t="n"/>
    </row>
    <row r="96" ht="42" customHeight="1">
      <c r="A96" s="26" t="inlineStr">
        <is>
          <t>AD7</t>
        </is>
      </c>
      <c r="B96" s="27" t="inlineStr">
        <is>
          <t>As an Admin, I want a participant's service record.</t>
        </is>
      </c>
      <c r="C96" s="27" t="inlineStr">
        <is>
          <t>Users → Service record for a participant in your org.</t>
        </is>
      </c>
      <c r="D96" s="27" t="inlineStr">
        <is>
          <t>Record opens.</t>
        </is>
      </c>
      <c r="E96" s="28" t="n"/>
      <c r="F96" s="27" t="n"/>
      <c r="G96" s="28" t="n"/>
    </row>
    <row r="97" ht="42" customHeight="1">
      <c r="A97" s="26" t="inlineStr">
        <is>
          <t>AD8</t>
        </is>
      </c>
      <c r="B97" s="27" t="inlineStr">
        <is>
          <t>As an Admin, I want to edit/delete my org's users.</t>
        </is>
      </c>
      <c r="C97" s="27" t="inlineStr">
        <is>
          <t>Edit a name/phone; delete a test user.</t>
        </is>
      </c>
      <c r="D97" s="27" t="inlineStr">
        <is>
          <t>Changes apply within your org.</t>
        </is>
      </c>
      <c r="E97" s="28" t="n"/>
      <c r="F97" s="27" t="n"/>
      <c r="G97" s="28" t="n"/>
    </row>
    <row r="98" ht="42" customHeight="1">
      <c r="A98" s="26" t="inlineStr">
        <is>
          <t>AD9</t>
        </is>
      </c>
      <c r="B98" s="27" t="inlineStr">
        <is>
          <t>As an Admin, I must NOT act on users outside my org.</t>
        </is>
      </c>
      <c r="C98" s="27" t="inlineStr">
        <is>
          <t>Attempt to reach another org's user (e.g. direct URL).</t>
        </is>
      </c>
      <c r="D98" s="27" t="inlineStr">
        <is>
          <t>Blocked / not visible.</t>
        </is>
      </c>
      <c r="E98" s="28" t="n"/>
      <c r="F98" s="27" t="n"/>
      <c r="G98" s="28" t="n"/>
    </row>
    <row r="99" ht="42" customHeight="1">
      <c r="A99" s="26" t="inlineStr">
        <is>
          <t>AD10</t>
        </is>
      </c>
      <c r="B99" s="27" t="inlineStr">
        <is>
          <t>As an Admin, I cannot grant Admin access or manage admins.</t>
        </is>
      </c>
      <c r="C99" s="27" t="inlineStr">
        <is>
          <t>Look for the 'grant Admin access' action.</t>
        </is>
      </c>
      <c r="D99" s="27" t="inlineStr">
        <is>
          <t>No such button; attempts are blocked server-side.</t>
        </is>
      </c>
      <c r="E99" s="28" t="n"/>
      <c r="F99" s="27" t="n"/>
      <c r="G99" s="28" t="n"/>
    </row>
    <row r="100" ht="42" customHeight="1">
      <c r="A100" s="26" t="inlineStr">
        <is>
          <t>AD11</t>
        </is>
      </c>
      <c r="B100" s="27" t="inlineStr">
        <is>
          <t>As an Admin, I see and edit only my own organization.</t>
        </is>
      </c>
      <c r="C100" s="27" t="inlineStr">
        <is>
          <t>Open Organizations.</t>
        </is>
      </c>
      <c r="D100" s="27" t="inlineStr">
        <is>
          <t>Only your org shows; you can edit its settings.</t>
        </is>
      </c>
      <c r="E100" s="28" t="n"/>
      <c r="F100" s="27" t="n"/>
      <c r="G100" s="28" t="n"/>
    </row>
    <row r="101" ht="42" customHeight="1">
      <c r="A101" s="26" t="inlineStr">
        <is>
          <t>AD12</t>
        </is>
      </c>
      <c r="B101" s="27" t="inlineStr">
        <is>
          <t>As an Admin, I want to generate/rotate my org's join code.</t>
        </is>
      </c>
      <c r="C101" s="27" t="inlineStr">
        <is>
          <t>Organizations → set/generate a join code → save.</t>
        </is>
      </c>
      <c r="D101" s="27" t="inlineStr">
        <is>
          <t>Join code saved; usable at sign-up.</t>
        </is>
      </c>
      <c r="E101" s="28" t="n"/>
      <c r="F101" s="27" t="n"/>
      <c r="G101" s="28" t="n"/>
    </row>
    <row r="102" ht="42" customHeight="1">
      <c r="A102" s="26" t="inlineStr">
        <is>
          <t>AD13</t>
        </is>
      </c>
      <c r="B102" s="27" t="inlineStr">
        <is>
          <t>As an Admin, I cannot create organizations.</t>
        </is>
      </c>
      <c r="C102" s="27" t="inlineStr">
        <is>
          <t>Look for 'Add organization'.</t>
        </is>
      </c>
      <c r="D102" s="27" t="inlineStr">
        <is>
          <t>No Add button; creation blocked.</t>
        </is>
      </c>
      <c r="E102" s="28" t="n"/>
      <c r="F102" s="27" t="n"/>
      <c r="G102" s="28" t="n"/>
    </row>
    <row r="103" ht="42" customHeight="1">
      <c r="A103" s="26" t="inlineStr">
        <is>
          <t>AD14</t>
        </is>
      </c>
      <c r="B103" s="27" t="inlineStr">
        <is>
          <t>As an Admin, I cannot change the recycling cans total.</t>
        </is>
      </c>
      <c r="C103" s="27" t="inlineStr">
        <is>
          <t>Look for the cans/bin admin control.</t>
        </is>
      </c>
      <c r="D103" s="27" t="inlineStr">
        <is>
          <t>Not available (Super Admin only).</t>
        </is>
      </c>
      <c r="E103" s="28" t="n"/>
      <c r="F103" s="27" t="n"/>
      <c r="G103" s="28" t="n"/>
    </row>
    <row r="104" ht="42" customHeight="1">
      <c r="A104" s="26" t="inlineStr">
        <is>
          <t>AD15</t>
        </is>
      </c>
      <c r="B104" s="27" t="inlineStr">
        <is>
          <t>As an Admin, I can turn my activity emails off.</t>
        </is>
      </c>
      <c r="C104" s="27" t="inlineStr">
        <is>
          <t>Dashboard → Email notifications toggle off; have a student sign up for your event.</t>
        </is>
      </c>
      <c r="D104" s="27" t="inlineStr">
        <is>
          <t>No sign-up email arrives while off; turning it back on resumes them.</t>
        </is>
      </c>
      <c r="E104" s="28" t="n"/>
      <c r="F104" s="27" t="n"/>
      <c r="G104" s="28" t="n"/>
    </row>
    <row r="105" ht="42" customHeight="1">
      <c r="A105" s="26" t="inlineStr">
        <is>
          <t>AD16</t>
        </is>
      </c>
      <c r="B105" s="27" t="inlineStr">
        <is>
          <t>As an Admin creating a user, I choose among only my org(s).</t>
        </is>
      </c>
      <c r="C105" s="27" t="inlineStr">
        <is>
          <t>Add user → Organization picker.</t>
        </is>
      </c>
      <c r="D105" s="27" t="inlineStr">
        <is>
          <t>Only the org(s) I manage are listed (Super Admins see all + 'none').</t>
        </is>
      </c>
      <c r="E105" s="28" t="n"/>
      <c r="F105" s="27" t="n"/>
      <c r="G105" s="28" t="n"/>
    </row>
    <row r="106" ht="20" customHeight="1">
      <c r="A106" s="24" t="inlineStr">
        <is>
          <t>Super Admin (global)</t>
        </is>
      </c>
      <c r="B106" s="25" t="n"/>
      <c r="C106" s="25" t="n"/>
      <c r="D106" s="25" t="n"/>
      <c r="E106" s="25" t="n"/>
      <c r="F106" s="25" t="n"/>
      <c r="G106" s="25" t="n"/>
    </row>
    <row r="107" ht="42" customHeight="1">
      <c r="A107" s="26" t="inlineStr">
        <is>
          <t>SA1</t>
        </is>
      </c>
      <c r="B107" s="27" t="inlineStr">
        <is>
          <t>As a Super Admin, I want the correct menu tabs.</t>
        </is>
      </c>
      <c r="C107" s="27" t="inlineStr">
        <is>
          <t>Look at the left menu.</t>
        </is>
      </c>
      <c r="D107" s="27" t="inlineStr">
        <is>
          <t>Dashboard, Reports, Users, Events, Organizations (Help in footer).</t>
        </is>
      </c>
      <c r="E107" s="28" t="n"/>
      <c r="F107" s="27" t="n"/>
      <c r="G107" s="28" t="n"/>
    </row>
    <row r="108" ht="42" customHeight="1">
      <c r="A108" s="26" t="inlineStr">
        <is>
          <t>SA2</t>
        </is>
      </c>
      <c r="B108" s="27" t="inlineStr">
        <is>
          <t>As a Super Admin, I can do everything an Admin can, across all orgs.</t>
        </is>
      </c>
      <c r="C108" s="27" t="inlineStr">
        <is>
          <t>Spot-check user + org actions on more than one org.</t>
        </is>
      </c>
      <c r="D108" s="27" t="inlineStr">
        <is>
          <t>All allowed regardless of org.</t>
        </is>
      </c>
      <c r="E108" s="28" t="n"/>
      <c r="F108" s="27" t="n"/>
      <c r="G108" s="28" t="n"/>
    </row>
    <row r="109" ht="42" customHeight="1">
      <c r="A109" s="26" t="inlineStr">
        <is>
          <t>SA3</t>
        </is>
      </c>
      <c r="B109" s="27" t="inlineStr">
        <is>
          <t>As a Super Admin, I want to create users incl. Supervisor and Super Admin.</t>
        </is>
      </c>
      <c r="C109" s="27" t="inlineStr">
        <is>
          <t>Users → Add user → each role.</t>
        </is>
      </c>
      <c r="D109" s="27" t="inlineStr">
        <is>
          <t>Participant/Supervisor/Super Admin options available; account created + invite email.</t>
        </is>
      </c>
      <c r="E109" s="28" t="n"/>
      <c r="F109" s="27" t="n"/>
      <c r="G109" s="28" t="n"/>
    </row>
    <row r="110" ht="42" customHeight="1">
      <c r="A110" s="26" t="inlineStr">
        <is>
          <t>SA4</t>
        </is>
      </c>
      <c r="B110" s="27" t="inlineStr">
        <is>
          <t>As a Super Admin, I want to grant/revoke Admin access.</t>
        </is>
      </c>
      <c r="C110" s="27" t="inlineStr">
        <is>
          <t>Open a user → grant Admin access → check org(s) → save; then uncheck all → save.</t>
        </is>
      </c>
      <c r="D110" s="27" t="inlineStr">
        <is>
          <t>Checking orgs makes an Admin; unchecking all reverts to participant.</t>
        </is>
      </c>
      <c r="E110" s="28" t="n"/>
      <c r="F110" s="27" t="n"/>
      <c r="G110" s="28" t="n"/>
    </row>
    <row r="111" ht="42" customHeight="1">
      <c r="A111" s="26" t="inlineStr">
        <is>
          <t>SA5</t>
        </is>
      </c>
      <c r="B111" s="27" t="inlineStr">
        <is>
          <t>As a Super Admin, I want to create organizations + join codes.</t>
        </is>
      </c>
      <c r="C111" s="27" t="inlineStr">
        <is>
          <t>Organizations → Add organization → set details + join code.</t>
        </is>
      </c>
      <c r="D111" s="27" t="inlineStr">
        <is>
          <t>Org created with its join code.</t>
        </is>
      </c>
      <c r="E111" s="28" t="n"/>
      <c r="F111" s="27" t="n"/>
      <c r="G111" s="28" t="n"/>
    </row>
    <row r="112" ht="42" customHeight="1">
      <c r="A112" s="26" t="inlineStr">
        <is>
          <t>SA6</t>
        </is>
      </c>
      <c r="B112" s="27" t="inlineStr">
        <is>
          <t>As a Super Admin, I want to find users by type.</t>
        </is>
      </c>
      <c r="C112" s="27" t="inlineStr">
        <is>
          <t>Users → role filter pills + search.</t>
        </is>
      </c>
      <c r="D112" s="27" t="inlineStr">
        <is>
          <t>Filter by role with counts; search by name/email across all orgs.</t>
        </is>
      </c>
      <c r="E112" s="28" t="n"/>
      <c r="F112" s="27" t="n"/>
      <c r="G112" s="28" t="n"/>
    </row>
    <row r="113" ht="42" customHeight="1">
      <c r="A113" s="26" t="inlineStr">
        <is>
          <t>SA7</t>
        </is>
      </c>
      <c r="B113" s="27" t="inlineStr">
        <is>
          <t>As a Super Admin, I want to search events.</t>
        </is>
      </c>
      <c r="C113" s="27" t="inlineStr">
        <is>
          <t>Events → search + date range; check supervisor/org per card.</t>
        </is>
      </c>
      <c r="D113" s="27" t="inlineStr">
        <is>
          <t>Filters work; each event shows supervisor and organization.</t>
        </is>
      </c>
      <c r="E113" s="28" t="n"/>
      <c r="F113" s="27" t="n"/>
      <c r="G113" s="28" t="n"/>
    </row>
    <row r="114" ht="42" customHeight="1">
      <c r="A114" s="26" t="inlineStr">
        <is>
          <t>SA8</t>
        </is>
      </c>
      <c r="B114" s="27" t="inlineStr">
        <is>
          <t>As a Super Admin, I want clear event-visibility labels.</t>
        </is>
      </c>
      <c r="C114" s="27" t="inlineStr">
        <is>
          <t>New Event → 'Who can see this'.</t>
        </is>
      </c>
      <c r="D114" s="27" t="inlineStr">
        <is>
          <t>'Open to all (community)' and 'Only &lt;org&gt; students' with helper text.</t>
        </is>
      </c>
      <c r="E114" s="28" t="n"/>
      <c r="F114" s="27" t="n"/>
      <c r="G114" s="28" t="n"/>
    </row>
    <row r="115" ht="42" customHeight="1">
      <c r="A115" s="26" t="inlineStr">
        <is>
          <t>SA9</t>
        </is>
      </c>
      <c r="B115" s="27" t="inlineStr">
        <is>
          <t>As a Super Admin, I want program-wide reports.</t>
        </is>
      </c>
      <c r="C115" s="27" t="inlineStr">
        <is>
          <t>Open Reports / Dashboard.</t>
        </is>
      </c>
      <c r="D115" s="27" t="inlineStr">
        <is>
          <t>Totals and charts across the whole program.</t>
        </is>
      </c>
      <c r="E115" s="28" t="n"/>
      <c r="F115" s="27" t="n"/>
      <c r="G115" s="28" t="n"/>
    </row>
    <row r="116" ht="42" customHeight="1">
      <c r="A116" s="26" t="inlineStr">
        <is>
          <t>SA10</t>
        </is>
      </c>
      <c r="B116" s="27" t="inlineStr">
        <is>
          <t>As a Super Admin, I want to verify email works.</t>
        </is>
      </c>
      <c r="C116" s="27" t="inlineStr">
        <is>
          <t>Dashboard → Send test email.</t>
        </is>
      </c>
      <c r="D116" s="27" t="inlineStr">
        <is>
          <t>Result shown (success or the exact failure reason).</t>
        </is>
      </c>
      <c r="E116" s="28" t="n"/>
      <c r="F116" s="27" t="n"/>
      <c r="G116" s="28" t="n"/>
    </row>
    <row r="117" ht="42" customHeight="1">
      <c r="A117" s="26" t="inlineStr">
        <is>
          <t>SA11</t>
        </is>
      </c>
      <c r="B117" s="27" t="inlineStr">
        <is>
          <t>As a Super Admin, I want to update the recycling cans total.</t>
        </is>
      </c>
      <c r="C117" s="27" t="inlineStr">
        <is>
          <t>Use the cans/bin admin control.</t>
        </is>
      </c>
      <c r="D117" s="27" t="inlineStr">
        <is>
          <t>Total updates; the ribbon reflects it.</t>
        </is>
      </c>
      <c r="E117" s="28" t="n"/>
      <c r="F117" s="27" t="n"/>
      <c r="G117" s="28" t="n"/>
    </row>
    <row r="118" ht="42" customHeight="1">
      <c r="A118" s="26" t="inlineStr">
        <is>
          <t>SA12</t>
        </is>
      </c>
      <c r="B118" s="27" t="inlineStr">
        <is>
          <t>As a Super Admin, I want hours + records for any user.</t>
        </is>
      </c>
      <c r="C118" s="27" t="inlineStr">
        <is>
          <t>Add manual hours / open service record for any participant.</t>
        </is>
      </c>
      <c r="D118" s="27" t="inlineStr">
        <is>
          <t>Works for any org.</t>
        </is>
      </c>
      <c r="E118" s="28" t="n"/>
      <c r="F118" s="27" t="n"/>
      <c r="G118" s="28" t="n"/>
    </row>
    <row r="119" ht="42" customHeight="1">
      <c r="A119" s="26" t="inlineStr">
        <is>
          <t>SA13</t>
        </is>
      </c>
      <c r="B119" s="27" t="inlineStr">
        <is>
          <t>As a Super Admin, I want to set award thresholds by grade band and/or org.</t>
        </is>
      </c>
      <c r="C119" s="27" t="inlineStr">
        <is>
          <t>Award Thresholds → add a rule (e.g. Elementary 20/30/40) → save.</t>
        </is>
      </c>
      <c r="D119" s="27" t="inlineStr">
        <is>
          <t>Rule saved; an affected participant's dashboard/reports show the new bars; leaderboard/record medals follow.</t>
        </is>
      </c>
      <c r="E119" s="28" t="n"/>
      <c r="F119" s="27" t="n"/>
      <c r="G119" s="28" t="n"/>
    </row>
    <row r="120" ht="42" customHeight="1">
      <c r="A120" s="26" t="inlineStr">
        <is>
          <t>SA14</t>
        </is>
      </c>
      <c r="B120" s="27" t="inlineStr">
        <is>
          <t>As a Super Admin, I want an audit log of key actions.</t>
        </is>
      </c>
      <c r="C120" s="27" t="inlineStr">
        <is>
          <t>Do an action (create user, grant hours, edit org) → open Audit Log.</t>
        </is>
      </c>
      <c r="D120" s="27" t="inlineStr">
        <is>
          <t>The action appears with who/when; search + action filters work.</t>
        </is>
      </c>
      <c r="E120" s="28" t="n"/>
      <c r="F120" s="27" t="n"/>
      <c r="G120" s="28" t="n"/>
    </row>
    <row r="121" ht="42" customHeight="1">
      <c r="A121" s="26" t="inlineStr">
        <is>
          <t>SA15</t>
        </is>
      </c>
      <c r="B121" s="27" t="inlineStr">
        <is>
          <t>As a Super Admin, deleting a supervisor who runs events is blocked.</t>
        </is>
      </c>
      <c r="C121" s="27" t="inlineStr">
        <is>
          <t>Try to delete a supervisor who supervises 1+ events.</t>
        </is>
      </c>
      <c r="D121" s="27" t="inlineStr">
        <is>
          <t>Blocked with a clear message to reassign or remove their events first (events/hours preserved).</t>
        </is>
      </c>
      <c r="E121" s="28" t="n"/>
      <c r="F121" s="27" t="n"/>
      <c r="G121" s="28" t="n"/>
    </row>
    <row r="122" ht="42" customHeight="1">
      <c r="A122" s="26" t="inlineStr">
        <is>
          <t>SA16</t>
        </is>
      </c>
      <c r="B122" s="27" t="inlineStr">
        <is>
          <t>As a Super Admin, I want to reassign a supervisor's events, then delete them.</t>
        </is>
      </c>
      <c r="C122" s="27" t="inlineStr">
        <is>
          <t>Users → Reassign events → pick another supervisor → confirm; then delete the original.</t>
        </is>
      </c>
      <c r="D122" s="27" t="inlineStr">
        <is>
          <t>Events move to the new supervisor; the original can then be deleted.</t>
        </is>
      </c>
      <c r="E122" s="28" t="n"/>
      <c r="F122" s="27" t="n"/>
      <c r="G122" s="28" t="n"/>
    </row>
    <row r="123" ht="42" customHeight="1">
      <c r="A123" s="26" t="inlineStr">
        <is>
          <t>SA17</t>
        </is>
      </c>
      <c r="B123" s="27" t="inlineStr">
        <is>
          <t>As a Super Admin, creating a user pre-fills a temp password and emails an invite.</t>
        </is>
      </c>
      <c r="C123" s="27" t="inlineStr">
        <is>
          <t>Add user; note the temp password field is pre-filled (Supervisor123!); save.</t>
        </is>
      </c>
      <c r="D123" s="27" t="inlineStr">
        <is>
          <t>Account created; the person gets a set-password invite email.</t>
        </is>
      </c>
      <c r="E123" s="28" t="n"/>
      <c r="F123" s="27" t="n"/>
      <c r="G123" s="28" t="n"/>
    </row>
    <row r="124" ht="42" customHeight="1">
      <c r="A124" s="26" t="inlineStr">
        <is>
          <t>SA18</t>
        </is>
      </c>
      <c r="B124" s="27" t="inlineStr">
        <is>
          <t>As a Super Admin, I want to assign an org when creating a user.</t>
        </is>
      </c>
      <c r="C124" s="27" t="inlineStr">
        <is>
          <t>Add user → choose an Organization (or 'No specific organization') → save.</t>
        </is>
      </c>
      <c r="D124" s="27" t="inlineStr">
        <is>
          <t>The user is stamped to that org (visible/manageable by that org's Admin).</t>
        </is>
      </c>
      <c r="E124" s="28" t="n"/>
      <c r="F124" s="27" t="n"/>
      <c r="G124" s="28" t="n"/>
    </row>
    <row r="125" ht="20" customHeight="1">
      <c r="A125" s="24" t="inlineStr">
        <is>
          <t>Cross-cutting</t>
        </is>
      </c>
      <c r="B125" s="25" t="n"/>
      <c r="C125" s="25" t="n"/>
      <c r="D125" s="25" t="n"/>
      <c r="E125" s="25" t="n"/>
      <c r="F125" s="25" t="n"/>
      <c r="G125" s="25" t="n"/>
    </row>
    <row r="126" ht="42" customHeight="1">
      <c r="A126" s="26" t="inlineStr">
        <is>
          <t>X1</t>
        </is>
      </c>
      <c r="B126" s="27" t="inlineStr">
        <is>
          <t>As a phone user, I want a usable mobile layout.</t>
        </is>
      </c>
      <c r="C126" s="27" t="inlineStr">
        <is>
          <t>Open at phone width; use the menu drawer.</t>
        </is>
      </c>
      <c r="D126" s="27" t="inlineStr">
        <is>
          <t>Layout adapts; drawer opens/closes; no horizontal scroll.</t>
        </is>
      </c>
      <c r="E126" s="28" t="n"/>
      <c r="F126" s="27" t="n"/>
      <c r="G126" s="28" t="n"/>
    </row>
    <row r="127" ht="42" customHeight="1">
      <c r="A127" s="26" t="inlineStr">
        <is>
          <t>X2</t>
        </is>
      </c>
      <c r="B127" s="27" t="inlineStr">
        <is>
          <t>As a visitor, I want the recycling ribbon on the login page.</t>
        </is>
      </c>
      <c r="C127" s="27" t="inlineStr">
        <is>
          <t>Open login signed out.</t>
        </is>
      </c>
      <c r="D127" s="27" t="inlineStr">
        <is>
          <t>Green ribbon shows on login.</t>
        </is>
      </c>
      <c r="E127" s="28" t="n"/>
      <c r="F127" s="27" t="n"/>
      <c r="G127" s="28" t="n"/>
    </row>
  </sheetData>
  <mergeCells count="9">
    <mergeCell ref="A89:G89"/>
    <mergeCell ref="A58:G58"/>
    <mergeCell ref="A1:G1"/>
    <mergeCell ref="A106:G106"/>
    <mergeCell ref="A3:G3"/>
    <mergeCell ref="A35:G35"/>
    <mergeCell ref="A125:G125"/>
    <mergeCell ref="A64:G64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7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9:E63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65:E88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90:E10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107:E124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26:E127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7 E59:E63 E65:E88 E90:E105 E107:E124 E126:E127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Desktop Chrome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PE16</t>
        </is>
      </c>
      <c r="B49" s="27" t="inlineStr">
        <is>
          <t>As a parent, I want to browse/search opportunities for my child (upcoming &amp; past).</t>
        </is>
      </c>
      <c r="C49" s="27" t="inlineStr">
        <is>
          <t>Find Opportunities with the child selected; use search and the upcoming/past views.</t>
        </is>
      </c>
      <c r="D49" s="27" t="inlineStr">
        <is>
          <t>Same event list a participant sees, scoped to the child's grade/org.</t>
        </is>
      </c>
      <c r="E49" s="28" t="n"/>
      <c r="F49" s="27" t="n"/>
      <c r="G49" s="28" t="n"/>
    </row>
    <row r="50" ht="42" customHeight="1">
      <c r="A50" s="26" t="inlineStr">
        <is>
          <t>PE17</t>
        </is>
      </c>
      <c r="B50" s="27" t="inlineStr">
        <is>
          <t>As a parent, I want to withdraw my child from an event.</t>
        </is>
      </c>
      <c r="C50" s="27" t="inlineStr">
        <is>
          <t>Open the child's upcoming events → withdraw.</t>
        </is>
      </c>
      <c r="D50" s="27" t="inlineStr">
        <is>
          <t>The child is removed; the slot frees up.</t>
        </is>
      </c>
      <c r="E50" s="28" t="n"/>
      <c r="F50" s="27" t="n"/>
      <c r="G50" s="28" t="n"/>
    </row>
    <row r="51" ht="42" customHeight="1">
      <c r="A51" s="26" t="inlineStr">
        <is>
          <t>PE18</t>
        </is>
      </c>
      <c r="B51" s="27" t="inlineStr">
        <is>
          <t>As a parent, I want to check my child in on event day.</t>
        </is>
      </c>
      <c r="C51" s="27" t="inlineStr">
        <is>
          <t>On the event day within the window, check the child in.</t>
        </is>
      </c>
      <c r="D51" s="27" t="inlineStr">
        <is>
          <t>Check-in succeeds for the child.</t>
        </is>
      </c>
      <c r="E51" s="28" t="n"/>
      <c r="F51" s="27" t="n"/>
      <c r="G51" s="28" t="n"/>
    </row>
    <row r="52" ht="42" customHeight="1">
      <c r="A52" s="26" t="inlineStr">
        <is>
          <t>PE19</t>
        </is>
      </c>
      <c r="B52" s="27" t="inlineStr">
        <is>
          <t>As a parent, I want to see my child's medal progress.</t>
        </is>
      </c>
      <c r="C52" s="27" t="inlineStr">
        <is>
          <t>Open the dashboard / child card.</t>
        </is>
      </c>
      <c r="D52" s="27" t="inlineStr">
        <is>
          <t>Progress uses the child's grade-based thresholds (e.g. lower bar for younger grades).</t>
        </is>
      </c>
      <c r="E52" s="28" t="n"/>
      <c r="F52" s="27" t="n"/>
      <c r="G52" s="28" t="n"/>
    </row>
    <row r="53" ht="42" customHeight="1">
      <c r="A53" s="26" t="inlineStr">
        <is>
          <t>PE20</t>
        </is>
      </c>
      <c r="B53" s="27" t="inlineStr">
        <is>
          <t>As a parent, external &gt;5h for my child requires proof.</t>
        </is>
      </c>
      <c r="C53" s="27" t="inlineStr">
        <is>
          <t>Outside hours for the child, over 5 hours, without then with a proof file.</t>
        </is>
      </c>
      <c r="D53" s="27" t="inlineStr">
        <is>
          <t>Blocked without proof; submits with a photo/letter.</t>
        </is>
      </c>
      <c r="E53" s="28" t="n"/>
      <c r="F53" s="27" t="n"/>
      <c r="G53" s="28" t="n"/>
    </row>
    <row r="54" ht="42" customHeight="1">
      <c r="A54" s="26" t="inlineStr">
        <is>
          <t>PE14</t>
        </is>
      </c>
      <c r="B54" s="27" t="inlineStr">
        <is>
          <t>As a parent, I want to log my child's outside/nonprofit volunteering.</t>
        </is>
      </c>
      <c r="C54" s="27" t="inlineStr">
        <is>
          <t>Child card → 'Outside hours' → fill activity, org, date, hours, supervisor → Submit.</t>
        </is>
      </c>
      <c r="D54" s="27" t="inlineStr">
        <is>
          <t>External hours submitted for the child and sent for supervisor approval (proof required over 5h).</t>
        </is>
      </c>
      <c r="E54" s="28" t="n"/>
      <c r="F54" s="27" t="n"/>
      <c r="G54" s="28" t="n"/>
    </row>
    <row r="55" ht="42" customHeight="1">
      <c r="A55" s="26" t="inlineStr">
        <is>
          <t>PE15</t>
        </is>
      </c>
      <c r="B55" s="27" t="inlineStr">
        <is>
          <t>As a parent, I want my child's verified service record.</t>
        </is>
      </c>
      <c r="C55" s="27" t="inlineStr">
        <is>
          <t>Child card → 'Service record'.</t>
        </is>
      </c>
      <c r="D55" s="27" t="inlineStr">
        <is>
          <t>The child's itemized record opens; Print / Save-as-PDF works.</t>
        </is>
      </c>
      <c r="E55" s="28" t="n"/>
      <c r="F55" s="27" t="n"/>
      <c r="G55" s="28" t="n"/>
    </row>
    <row r="56" ht="42" customHeight="1">
      <c r="A56" s="26" t="inlineStr">
        <is>
          <t>PE22</t>
        </is>
      </c>
      <c r="B56" s="27" t="inlineStr">
        <is>
          <t>As a parent, I want to be emailed when my child's hours are reviewed.</t>
        </is>
      </c>
      <c r="C56" s="27" t="inlineStr">
        <is>
          <t>Have a supervisor approve then reject a submission for a managed child.</t>
        </is>
      </c>
      <c r="D56" s="27" t="inlineStr">
        <is>
          <t>You (the guardian) receive the approved / needs-attention emails, even though the child has no email of their own.</t>
        </is>
      </c>
      <c r="E56" s="28" t="n"/>
      <c r="F56" s="27" t="n"/>
      <c r="G56" s="28" t="n"/>
    </row>
    <row r="57" ht="42" customHeight="1">
      <c r="A57" s="26" t="inlineStr">
        <is>
          <t>PE23</t>
        </is>
      </c>
      <c r="B57" s="27" t="inlineStr">
        <is>
          <t>As a parent, I want to edit my child's details.</t>
        </is>
      </c>
      <c r="C57" s="27" t="inlineStr">
        <is>
          <t>Child card → Edit → change name/grade/school → save.</t>
        </is>
      </c>
      <c r="D57" s="27" t="inlineStr">
        <is>
          <t>Changes save for the managed child.</t>
        </is>
      </c>
      <c r="E57" s="28" t="n"/>
      <c r="F57" s="27" t="n"/>
      <c r="G57" s="28" t="n"/>
    </row>
    <row r="58" ht="20" customHeight="1">
      <c r="A58" s="24" t="inlineStr">
        <is>
          <t>Parent — viewer (grades 6–12 student)</t>
        </is>
      </c>
      <c r="B58" s="25" t="n"/>
      <c r="C58" s="25" t="n"/>
      <c r="D58" s="25" t="n"/>
      <c r="E58" s="25" t="n"/>
      <c r="F58" s="25" t="n"/>
      <c r="G58" s="25" t="n"/>
    </row>
    <row r="59" ht="42" customHeight="1">
      <c r="A59" s="26" t="inlineStr">
        <is>
          <t>PV1</t>
        </is>
      </c>
      <c r="B59" s="27" t="inlineStr">
        <is>
          <t>As a parent of a 6–12 student, I want to register for view-only access.</t>
        </is>
      </c>
      <c r="C59" s="27" t="inlineStr">
        <is>
          <t>Create account → parent of a 6–12 student.</t>
        </is>
      </c>
      <c r="D59" s="27" t="inlineStr">
        <is>
          <t>Account created; no invite required to register.</t>
        </is>
      </c>
      <c r="E59" s="28" t="n"/>
      <c r="F59" s="27" t="n"/>
      <c r="G59" s="28" t="n"/>
    </row>
    <row r="60" ht="42" customHeight="1">
      <c r="A60" s="26" t="inlineStr">
        <is>
          <t>PV2</t>
        </is>
      </c>
      <c r="B60" s="27" t="inlineStr">
        <is>
          <t>As a viewer parent, my student links automatically by email.</t>
        </is>
      </c>
      <c r="C60" s="27" t="inlineStr">
        <is>
          <t>Have a student enter this exact email as their parent email (before or after you register).</t>
        </is>
      </c>
      <c r="D60" s="27" t="inlineStr">
        <is>
          <t>The student appears on your dashboard automatically; empty until then.</t>
        </is>
      </c>
      <c r="E60" s="28" t="n"/>
      <c r="F60" s="27" t="n"/>
      <c r="G60" s="28" t="n"/>
    </row>
    <row r="61" ht="42" customHeight="1">
      <c r="A61" s="26" t="inlineStr">
        <is>
          <t>PV3</t>
        </is>
      </c>
      <c r="B61" s="27" t="inlineStr">
        <is>
          <t>As a viewer parent, I want to see my student's schedule/progress.</t>
        </is>
      </c>
      <c r="C61" s="27" t="inlineStr">
        <is>
          <t>Open the dashboard.</t>
        </is>
      </c>
      <c r="D61" s="27" t="inlineStr">
        <is>
          <t>View-only schedule and progress.</t>
        </is>
      </c>
      <c r="E61" s="28" t="n"/>
      <c r="F61" s="27" t="n"/>
      <c r="G61" s="28" t="n"/>
    </row>
    <row r="62" ht="42" customHeight="1">
      <c r="A62" s="26" t="inlineStr">
        <is>
          <t>PV4</t>
        </is>
      </c>
      <c r="B62" s="27" t="inlineStr">
        <is>
          <t>As a viewer parent, I do NOT sign the student up.</t>
        </is>
      </c>
      <c r="C62" s="27" t="inlineStr">
        <is>
          <t>Look for a sign-up action.</t>
        </is>
      </c>
      <c r="D62" s="27" t="inlineStr">
        <is>
          <t>No sign-up on the student's behalf — the student self-serves.</t>
        </is>
      </c>
      <c r="E62" s="28" t="n"/>
      <c r="F62" s="27" t="n"/>
      <c r="G62" s="28" t="n"/>
    </row>
    <row r="63" ht="42" customHeight="1">
      <c r="A63" s="26" t="inlineStr">
        <is>
          <t>PV5</t>
        </is>
      </c>
      <c r="B63" s="27" t="inlineStr">
        <is>
          <t>As a viewer parent, I want to invite a co-guardian.</t>
        </is>
      </c>
      <c r="C63" s="27" t="inlineStr">
        <is>
          <t>Invite a co-guardian by email.</t>
        </is>
      </c>
      <c r="D63" s="27" t="inlineStr">
        <is>
          <t>Invite email sent; shared access on registration.</t>
        </is>
      </c>
      <c r="E63" s="28" t="n"/>
      <c r="F63" s="27" t="n"/>
      <c r="G63" s="28" t="n"/>
    </row>
    <row r="64" ht="20" customHeight="1">
      <c r="A64" s="24" t="inlineStr">
        <is>
          <t>Supervisor (created by an Admin)</t>
        </is>
      </c>
      <c r="B64" s="25" t="n"/>
      <c r="C64" s="25" t="n"/>
      <c r="D64" s="25" t="n"/>
      <c r="E64" s="25" t="n"/>
      <c r="F64" s="25" t="n"/>
      <c r="G64" s="25" t="n"/>
    </row>
    <row r="65" ht="42" customHeight="1">
      <c r="A65" s="26" t="inlineStr">
        <is>
          <t>SV1</t>
        </is>
      </c>
      <c r="B65" s="27" t="inlineStr">
        <is>
          <t>As the program, a supervisor cannot self-register.</t>
        </is>
      </c>
      <c r="C65" s="27" t="inlineStr">
        <is>
          <t>Review the sign-up options.</t>
        </is>
      </c>
      <c r="D65" s="27" t="inlineStr">
        <is>
          <t>No supervisor option exists on registration.</t>
        </is>
      </c>
      <c r="E65" s="28" t="n"/>
      <c r="F65" s="27" t="n"/>
      <c r="G65" s="28" t="n"/>
    </row>
    <row r="66" ht="42" customHeight="1">
      <c r="A66" s="26" t="inlineStr">
        <is>
          <t>SV2</t>
        </is>
      </c>
      <c r="B66" s="27" t="inlineStr">
        <is>
          <t>As a new supervisor, I get an invite to set my password.</t>
        </is>
      </c>
      <c r="C66" s="27" t="inlineStr">
        <is>
          <t>Have an Admin create your account; open the invite email; set password; sign in.</t>
        </is>
      </c>
      <c r="D66" s="27" t="inlineStr">
        <is>
          <t>Invite email arrives with a working set-password link; you can sign in.</t>
        </is>
      </c>
      <c r="E66" s="28" t="n"/>
      <c r="F66" s="27" t="n"/>
      <c r="G66" s="28" t="n"/>
    </row>
    <row r="67" ht="42" customHeight="1">
      <c r="A67" s="26" t="inlineStr">
        <is>
          <t>SV3</t>
        </is>
      </c>
      <c r="B67" s="27" t="inlineStr">
        <is>
          <t>As a supervisor, I want the correct 7 left-menu tabs.</t>
        </is>
      </c>
      <c r="C67" s="27" t="inlineStr">
        <is>
          <t>Look at the left menu.</t>
        </is>
      </c>
      <c r="D67" s="27" t="inlineStr">
        <is>
          <t>Dashboard, Pending Reviews, Reviewed History, My Events, All Opportunities, My Hours, Help.</t>
        </is>
      </c>
      <c r="E67" s="28" t="n"/>
      <c r="F67" s="27" t="n"/>
      <c r="G67" s="28" t="n"/>
    </row>
    <row r="68" ht="42" customHeight="1">
      <c r="A68" s="26" t="inlineStr">
        <is>
          <t>SV4</t>
        </is>
      </c>
      <c r="B68" s="27" t="inlineStr">
        <is>
          <t>As a supervisor, I want a dashboard.</t>
        </is>
      </c>
      <c r="C68" s="27" t="inlineStr">
        <is>
          <t>Open the dashboard.</t>
        </is>
      </c>
      <c r="D68" s="27" t="inlineStr">
        <is>
          <t>Review queue, approved/rejected counts, registrations, hours, upcoming events + Roster links.</t>
        </is>
      </c>
      <c r="E68" s="28" t="n"/>
      <c r="F68" s="27" t="n"/>
      <c r="G68" s="28" t="n"/>
    </row>
    <row r="69" ht="42" customHeight="1">
      <c r="A69" s="26" t="inlineStr">
        <is>
          <t>SV5</t>
        </is>
      </c>
      <c r="B69" s="27" t="inlineStr">
        <is>
          <t>As a supervisor, I want to approve hours.</t>
        </is>
      </c>
      <c r="C69" s="27" t="inlineStr">
        <is>
          <t>Pending Reviews → open → Approve.</t>
        </is>
      </c>
      <c r="D69" s="27" t="inlineStr">
        <is>
          <t>Approved; moves to Reviewed History; participant total updates; email sent.</t>
        </is>
      </c>
      <c r="E69" s="28" t="n"/>
      <c r="F69" s="27" t="n"/>
      <c r="G69" s="28" t="n"/>
    </row>
    <row r="70" ht="42" customHeight="1">
      <c r="A70" s="26" t="inlineStr">
        <is>
          <t>SV6</t>
        </is>
      </c>
      <c r="B70" s="27" t="inlineStr">
        <is>
          <t>As a supervisor, I want to reject hours with a reason.</t>
        </is>
      </c>
      <c r="C70" s="27" t="inlineStr">
        <is>
          <t>Reject without a reason, then with one.</t>
        </is>
      </c>
      <c r="D70" s="27" t="inlineStr">
        <is>
          <t>Blocked until a reason is given; then rejected and the participant notified.</t>
        </is>
      </c>
      <c r="E70" s="28" t="n"/>
      <c r="F70" s="27" t="n"/>
      <c r="G70" s="28" t="n"/>
    </row>
    <row r="71" ht="42" customHeight="1">
      <c r="A71" s="26" t="inlineStr">
        <is>
          <t>SV7</t>
        </is>
      </c>
      <c r="B71" s="27" t="inlineStr">
        <is>
          <t>As a supervisor, I want to review external submissions.</t>
        </is>
      </c>
      <c r="C71" s="27" t="inlineStr">
        <is>
          <t>Pending Reviews → external tab → approve/reject.</t>
        </is>
      </c>
      <c r="D71" s="27" t="inlineStr">
        <is>
          <t>External items reviewable, including any proof.</t>
        </is>
      </c>
      <c r="E71" s="28" t="n"/>
      <c r="F71" s="27" t="n"/>
      <c r="G71" s="28" t="n"/>
    </row>
    <row r="72" ht="42" customHeight="1">
      <c r="A72" s="26" t="inlineStr">
        <is>
          <t>SV8</t>
        </is>
      </c>
      <c r="B72" s="27" t="inlineStr">
        <is>
          <t>As a supervisor, I want to create an event.</t>
        </is>
      </c>
      <c r="C72" s="27" t="inlineStr">
        <is>
          <t>New Event → title, description, slot, address, date, times, capacity, grade limits → save.</t>
        </is>
      </c>
      <c r="D72" s="27" t="inlineStr">
        <is>
          <t>Credit auto-calculated from times; event created in My Events.</t>
        </is>
      </c>
      <c r="E72" s="28" t="n"/>
      <c r="F72" s="27" t="n"/>
      <c r="G72" s="28" t="n"/>
    </row>
    <row r="73" ht="42" customHeight="1">
      <c r="A73" s="26" t="inlineStr">
        <is>
          <t>SV9</t>
        </is>
      </c>
      <c r="B73" s="27" t="inlineStr">
        <is>
          <t>As a supervisor, I want to edit an event.</t>
        </is>
      </c>
      <c r="C73" s="27" t="inlineStr">
        <is>
          <t>My Events → edit → save.</t>
        </is>
      </c>
      <c r="D73" s="27" t="inlineStr">
        <is>
          <t>Changes persist and show to participants.</t>
        </is>
      </c>
      <c r="E73" s="28" t="n"/>
      <c r="F73" s="27" t="n"/>
      <c r="G73" s="28" t="n"/>
    </row>
    <row r="74" ht="42" customHeight="1">
      <c r="A74" s="26" t="inlineStr">
        <is>
          <t>SV10</t>
        </is>
      </c>
      <c r="B74" s="27" t="inlineStr">
        <is>
          <t>As a supervisor, I want to delete an event with no approved hours.</t>
        </is>
      </c>
      <c r="C74" s="27" t="inlineStr">
        <is>
          <t>Delete such an event → confirm.</t>
        </is>
      </c>
      <c r="D74" s="27" t="inlineStr">
        <is>
          <t>Event deleted.</t>
        </is>
      </c>
      <c r="E74" s="28" t="n"/>
      <c r="F74" s="27" t="n"/>
      <c r="G74" s="28" t="n"/>
    </row>
    <row r="75" ht="42" customHeight="1">
      <c r="A75" s="26" t="inlineStr">
        <is>
          <t>SV11</t>
        </is>
      </c>
      <c r="B75" s="27" t="inlineStr">
        <is>
          <t>As a supervisor, deleting an event with approved hours is blocked.</t>
        </is>
      </c>
      <c r="C75" s="27" t="inlineStr">
        <is>
          <t>Try to delete an event that has approved hours.</t>
        </is>
      </c>
      <c r="D75" s="27" t="inlineStr">
        <is>
          <t>Blocked with a message that approved hours must be preserved.</t>
        </is>
      </c>
      <c r="E75" s="28" t="n"/>
      <c r="F75" s="27" t="n"/>
      <c r="G75" s="28" t="n"/>
    </row>
    <row r="76" ht="42" customHeight="1">
      <c r="A76" s="26" t="inlineStr">
        <is>
          <t>SV12</t>
        </is>
      </c>
      <c r="B76" s="27" t="inlineStr">
        <is>
          <t>As a supervisor, I want to see who signed up.</t>
        </is>
      </c>
      <c r="C76" s="27" t="inlineStr">
        <is>
          <t>Open the event Roster.</t>
        </is>
      </c>
      <c r="D76" s="27" t="inlineStr">
        <is>
          <t>Registrants listed with grade and status.</t>
        </is>
      </c>
      <c r="E76" s="28" t="n"/>
      <c r="F76" s="27" t="n"/>
      <c r="G76" s="28" t="n"/>
    </row>
    <row r="77" ht="42" customHeight="1">
      <c r="A77" s="26" t="inlineStr">
        <is>
          <t>SV13</t>
        </is>
      </c>
      <c r="B77" s="27" t="inlineStr">
        <is>
          <t>As a supervisor, I want to check people in / mark no-show.</t>
        </is>
      </c>
      <c r="C77" s="27" t="inlineStr">
        <is>
          <t>On the roster, Check in and Mark no-show.</t>
        </is>
      </c>
      <c r="D77" s="27" t="inlineStr">
        <is>
          <t>Status updates and persists.</t>
        </is>
      </c>
      <c r="E77" s="28" t="n"/>
      <c r="F77" s="27" t="n"/>
      <c r="G77" s="28" t="n"/>
    </row>
    <row r="78" ht="42" customHeight="1">
      <c r="A78" s="26" t="inlineStr">
        <is>
          <t>SV14</t>
        </is>
      </c>
      <c r="B78" s="27" t="inlineStr">
        <is>
          <t>As a supervisor, I want to message everyone signed up.</t>
        </is>
      </c>
      <c r="C78" s="27" t="inlineStr">
        <is>
          <t>Roster → Message attendees → subject+message → send (include guardians on).</t>
        </is>
      </c>
      <c r="D78" s="27" t="inlineStr">
        <is>
          <t>Each registrant (and guardians) emailed individually; recipient count shown.</t>
        </is>
      </c>
      <c r="E78" s="28" t="n"/>
      <c r="F78" s="27" t="n"/>
      <c r="G78" s="28" t="n"/>
    </row>
    <row r="79" ht="42" customHeight="1">
      <c r="A79" s="26" t="inlineStr">
        <is>
          <t>SV15</t>
        </is>
      </c>
      <c r="B79" s="27" t="inlineStr">
        <is>
          <t>As a supervisor, I want a history of what I reviewed.</t>
        </is>
      </c>
      <c r="C79" s="27" t="inlineStr">
        <is>
          <t>Open Reviewed History.</t>
        </is>
      </c>
      <c r="D79" s="27" t="inlineStr">
        <is>
          <t>Every approved/rejected item with dates and volunteers.</t>
        </is>
      </c>
      <c r="E79" s="28" t="n"/>
      <c r="F79" s="27" t="n"/>
      <c r="G79" s="28" t="n"/>
    </row>
    <row r="80" ht="42" customHeight="1">
      <c r="A80" s="26" t="inlineStr">
        <is>
          <t>SV16</t>
        </is>
      </c>
      <c r="B80" s="27" t="inlineStr">
        <is>
          <t>As a supervisor, I want to browse all opportunities view-only.</t>
        </is>
      </c>
      <c r="C80" s="27" t="inlineStr">
        <is>
          <t>All Opportunities → search / upcoming-past.</t>
        </is>
      </c>
      <c r="D80" s="27" t="inlineStr">
        <is>
          <t>Every event listed read-only; can't edit others' events.</t>
        </is>
      </c>
      <c r="E80" s="28" t="n"/>
      <c r="F80" s="27" t="n"/>
      <c r="G80" s="28" t="n"/>
    </row>
    <row r="81" ht="42" customHeight="1">
      <c r="A81" s="26" t="inlineStr">
        <is>
          <t>SV17</t>
        </is>
      </c>
      <c r="B81" s="27" t="inlineStr">
        <is>
          <t>As a supervisor, I want to log my own adult hours.</t>
        </is>
      </c>
      <c r="C81" s="27" t="inlineStr">
        <is>
          <t>My Hours → log an activity, date, hours → save.</t>
        </is>
      </c>
      <c r="D81" s="27" t="inlineStr">
        <is>
          <t>Recorded instantly with a running total; clearly NOT part of the student competition.</t>
        </is>
      </c>
      <c r="E81" s="28" t="n"/>
      <c r="F81" s="27" t="n"/>
      <c r="G81" s="28" t="n"/>
    </row>
    <row r="82" ht="42" customHeight="1">
      <c r="A82" s="26" t="inlineStr">
        <is>
          <t>SV18</t>
        </is>
      </c>
      <c r="B82" s="27" t="inlineStr">
        <is>
          <t>As a supervisor, I want to delete an adult-hours entry.</t>
        </is>
      </c>
      <c r="C82" s="27" t="inlineStr">
        <is>
          <t>My Hours → delete an entry → confirm.</t>
        </is>
      </c>
      <c r="D82" s="27" t="inlineStr">
        <is>
          <t>Removed; total updates.</t>
        </is>
      </c>
      <c r="E82" s="28" t="n"/>
      <c r="F82" s="27" t="n"/>
      <c r="G82" s="28" t="n"/>
    </row>
    <row r="83" ht="42" customHeight="1">
      <c r="A83" s="26" t="inlineStr">
        <is>
          <t>SV19</t>
        </is>
      </c>
      <c r="B83" s="27" t="inlineStr">
        <is>
          <t>As a supervisor, I must NOT access user or org management.</t>
        </is>
      </c>
      <c r="C83" s="27" t="inlineStr">
        <is>
          <t>Look for Users / Organizations in the menu.</t>
        </is>
      </c>
      <c r="D83" s="27" t="inlineStr">
        <is>
          <t>Those tabs are absent; direct URLs are blocked.</t>
        </is>
      </c>
      <c r="E83" s="28" t="n"/>
      <c r="F83" s="27" t="n"/>
      <c r="G83" s="28" t="n"/>
    </row>
    <row r="84" ht="42" customHeight="1">
      <c r="A84" s="26" t="inlineStr">
        <is>
          <t>SV20</t>
        </is>
      </c>
      <c r="B84" s="27" t="inlineStr">
        <is>
          <t>As a supervisor, I want to attach files to a message.</t>
        </is>
      </c>
      <c r="C84" s="27" t="inlineStr">
        <is>
          <t>Roster → Message attendees → add an image/PDF (≤10 MB) → send.</t>
        </is>
      </c>
      <c r="D84" s="27" t="inlineStr">
        <is>
          <t>The attachment uploads, appears in the dialog, and arrives with the email.</t>
        </is>
      </c>
      <c r="E84" s="28" t="n"/>
      <c r="F84" s="27" t="n"/>
      <c r="G84" s="28" t="n"/>
    </row>
    <row r="85" ht="42" customHeight="1">
      <c r="A85" s="26" t="inlineStr">
        <is>
          <t>SV21</t>
        </is>
      </c>
      <c r="B85" s="27" t="inlineStr">
        <is>
          <t>As a supervisor, I want an email when someone signs up.</t>
        </is>
      </c>
      <c r="C85" s="27" t="inlineStr">
        <is>
          <t>Have a participant sign up for your event (with notifications on).</t>
        </is>
      </c>
      <c r="D85" s="27" t="inlineStr">
        <is>
          <t>You receive a sign-up email; toggling notifications off stops them.</t>
        </is>
      </c>
      <c r="E85" s="28" t="n"/>
      <c r="F85" s="27" t="n"/>
      <c r="G85" s="28" t="n"/>
    </row>
    <row r="86" ht="42" customHeight="1">
      <c r="A86" s="26" t="inlineStr">
        <is>
          <t>SV22</t>
        </is>
      </c>
      <c r="B86" s="27" t="inlineStr">
        <is>
          <t>As a supervisor, I want to verify who's a real member before sharing access.</t>
        </is>
      </c>
      <c r="C86" s="27" t="inlineStr">
        <is>
          <t>Open the Roster and read the attendee badges.</t>
        </is>
      </c>
      <c r="D86" s="27" t="inlineStr">
        <is>
          <t>Each shows their org, or 'Community · unverified'; a warning reminds you to confirm before sharing a building QR.</t>
        </is>
      </c>
      <c r="E86" s="28" t="n"/>
      <c r="F86" s="27" t="n"/>
      <c r="G86" s="28" t="n"/>
    </row>
    <row r="87" ht="42" customHeight="1">
      <c r="A87" s="26" t="inlineStr">
        <is>
          <t>SV23</t>
        </is>
      </c>
      <c r="B87" s="27" t="inlineStr">
        <is>
          <t>As a supervisor, I want to add a specific student to my event by email.</t>
        </is>
      </c>
      <c r="C87" s="27" t="inlineStr">
        <is>
          <t>Roster → Add a participant → enter their account email → Add.</t>
        </is>
      </c>
      <c r="D87" s="27" t="inlineStr">
        <is>
          <t>They're registered and emailed ('added to &lt;event&gt;'); it appears in their schedule. Works even for a student from another org (you vouch), without opening the event.</t>
        </is>
      </c>
      <c r="E87" s="28" t="n"/>
      <c r="F87" s="27" t="n"/>
      <c r="G87" s="28" t="n"/>
    </row>
    <row r="88" ht="42" customHeight="1">
      <c r="A88" s="26" t="inlineStr">
        <is>
          <t>SV24</t>
        </is>
      </c>
      <c r="B88" s="27" t="inlineStr">
        <is>
          <t>As the program, a gated event stays closed to non-members who aren't added.</t>
        </is>
      </c>
      <c r="C88" s="27" t="inlineStr">
        <is>
          <t>As a student not in the org, look for the gated event.</t>
        </is>
      </c>
      <c r="D88" s="27" t="inlineStr">
        <is>
          <t>It never appears for self sign-up; only a supervisor can add them.</t>
        </is>
      </c>
      <c r="E88" s="28" t="n"/>
      <c r="F88" s="27" t="n"/>
      <c r="G88" s="28" t="n"/>
    </row>
    <row r="89" ht="20" customHeight="1">
      <c r="A89" s="24" t="inlineStr">
        <is>
          <t>Admin (org-scoped)</t>
        </is>
      </c>
      <c r="B89" s="25" t="n"/>
      <c r="C89" s="25" t="n"/>
      <c r="D89" s="25" t="n"/>
      <c r="E89" s="25" t="n"/>
      <c r="F89" s="25" t="n"/>
      <c r="G89" s="25" t="n"/>
    </row>
    <row r="90" ht="42" customHeight="1">
      <c r="A90" s="26" t="inlineStr">
        <is>
          <t>AD1</t>
        </is>
      </c>
      <c r="B90" s="27" t="inlineStr">
        <is>
          <t>As an Admin, I want the correct menu tabs.</t>
        </is>
      </c>
      <c r="C90" s="27" t="inlineStr">
        <is>
          <t>Look at the left menu.</t>
        </is>
      </c>
      <c r="D90" s="27" t="inlineStr">
        <is>
          <t>Dashboard, Pending Reviews, Reviewed History, My Events, All Opportunities, Users, Organizations, My Hours, Help.</t>
        </is>
      </c>
      <c r="E90" s="28" t="n"/>
      <c r="F90" s="27" t="n"/>
      <c r="G90" s="28" t="n"/>
    </row>
    <row r="91" ht="42" customHeight="1">
      <c r="A91" s="26" t="inlineStr">
        <is>
          <t>AD2</t>
        </is>
      </c>
      <c r="B91" s="27" t="inlineStr">
        <is>
          <t>As an Admin, I can do everything a supervisor can.</t>
        </is>
      </c>
      <c r="C91" s="27" t="inlineStr">
        <is>
          <t>Spot-check: approve an item and create an event.</t>
        </is>
      </c>
      <c r="D91" s="27" t="inlineStr">
        <is>
          <t>Both work.</t>
        </is>
      </c>
      <c r="E91" s="28" t="n"/>
      <c r="F91" s="27" t="n"/>
      <c r="G91" s="28" t="n"/>
    </row>
    <row r="92" ht="42" customHeight="1">
      <c r="A92" s="26" t="inlineStr">
        <is>
          <t>AD3</t>
        </is>
      </c>
      <c r="B92" s="27" t="inlineStr">
        <is>
          <t>As an Admin, I only see my org's non-admin users.</t>
        </is>
      </c>
      <c r="C92" s="27" t="inlineStr">
        <is>
          <t>Open Users.</t>
        </is>
      </c>
      <c r="D92" s="27" t="inlineStr">
        <is>
          <t>Only participants/parents/supervisors in your org; no admins/super admins; no other orgs.</t>
        </is>
      </c>
      <c r="E92" s="28" t="n"/>
      <c r="F92" s="27" t="n"/>
      <c r="G92" s="28" t="n"/>
    </row>
    <row r="93" ht="42" customHeight="1">
      <c r="A93" s="26" t="inlineStr">
        <is>
          <t>AD4</t>
        </is>
      </c>
      <c r="B93" s="27" t="inlineStr">
        <is>
          <t>As an Admin, I want to add a supervisor.</t>
        </is>
      </c>
      <c r="C93" s="27" t="inlineStr">
        <is>
          <t>Users → Add user → Supervisor → save.</t>
        </is>
      </c>
      <c r="D93" s="27" t="inlineStr">
        <is>
          <t>Supervisor created, stamped to your org; invite email sent.</t>
        </is>
      </c>
      <c r="E93" s="28" t="n"/>
      <c r="F93" s="27" t="n"/>
      <c r="G93" s="28" t="n"/>
    </row>
    <row r="94" ht="42" customHeight="1">
      <c r="A94" s="26" t="inlineStr">
        <is>
          <t>AD5</t>
        </is>
      </c>
      <c r="B94" s="27" t="inlineStr">
        <is>
          <t>As an Admin, I want to create a participant as a fallback.</t>
        </is>
      </c>
      <c r="C94" s="27" t="inlineStr">
        <is>
          <t>Users → Add user → Participant → save.</t>
        </is>
      </c>
      <c r="D94" s="27" t="inlineStr">
        <is>
          <t>Participant created with a set-password invite (no silent password).</t>
        </is>
      </c>
      <c r="E94" s="28" t="n"/>
      <c r="F94" s="27" t="n"/>
      <c r="G94" s="28" t="n"/>
    </row>
    <row r="95" ht="42" customHeight="1">
      <c r="A95" s="26" t="inlineStr">
        <is>
          <t>AD6</t>
        </is>
      </c>
      <c r="B95" s="27" t="inlineStr">
        <is>
          <t>As an Admin, I want to grant participant hours.</t>
        </is>
      </c>
      <c r="C95" s="27" t="inlineStr">
        <is>
          <t>Open a participant in your org → Add hours.</t>
        </is>
      </c>
      <c r="D95" s="27" t="inlineStr">
        <is>
          <t>Hours auto-approved; count toward their total/medals.</t>
        </is>
      </c>
      <c r="E95" s="28" t="n"/>
      <c r="F95" s="27" t="n"/>
      <c r="G95" s="28" t="n"/>
    </row>
    <row r="96" ht="42" customHeight="1">
      <c r="A96" s="26" t="inlineStr">
        <is>
          <t>AD7</t>
        </is>
      </c>
      <c r="B96" s="27" t="inlineStr">
        <is>
          <t>As an Admin, I want a participant's service record.</t>
        </is>
      </c>
      <c r="C96" s="27" t="inlineStr">
        <is>
          <t>Users → Service record for a participant in your org.</t>
        </is>
      </c>
      <c r="D96" s="27" t="inlineStr">
        <is>
          <t>Record opens.</t>
        </is>
      </c>
      <c r="E96" s="28" t="n"/>
      <c r="F96" s="27" t="n"/>
      <c r="G96" s="28" t="n"/>
    </row>
    <row r="97" ht="42" customHeight="1">
      <c r="A97" s="26" t="inlineStr">
        <is>
          <t>AD8</t>
        </is>
      </c>
      <c r="B97" s="27" t="inlineStr">
        <is>
          <t>As an Admin, I want to edit/delete my org's users.</t>
        </is>
      </c>
      <c r="C97" s="27" t="inlineStr">
        <is>
          <t>Edit a name/phone; delete a test user.</t>
        </is>
      </c>
      <c r="D97" s="27" t="inlineStr">
        <is>
          <t>Changes apply within your org.</t>
        </is>
      </c>
      <c r="E97" s="28" t="n"/>
      <c r="F97" s="27" t="n"/>
      <c r="G97" s="28" t="n"/>
    </row>
    <row r="98" ht="42" customHeight="1">
      <c r="A98" s="26" t="inlineStr">
        <is>
          <t>AD9</t>
        </is>
      </c>
      <c r="B98" s="27" t="inlineStr">
        <is>
          <t>As an Admin, I must NOT act on users outside my org.</t>
        </is>
      </c>
      <c r="C98" s="27" t="inlineStr">
        <is>
          <t>Attempt to reach another org's user (e.g. direct URL).</t>
        </is>
      </c>
      <c r="D98" s="27" t="inlineStr">
        <is>
          <t>Blocked / not visible.</t>
        </is>
      </c>
      <c r="E98" s="28" t="n"/>
      <c r="F98" s="27" t="n"/>
      <c r="G98" s="28" t="n"/>
    </row>
    <row r="99" ht="42" customHeight="1">
      <c r="A99" s="26" t="inlineStr">
        <is>
          <t>AD10</t>
        </is>
      </c>
      <c r="B99" s="27" t="inlineStr">
        <is>
          <t>As an Admin, I cannot grant Admin access or manage admins.</t>
        </is>
      </c>
      <c r="C99" s="27" t="inlineStr">
        <is>
          <t>Look for the 'grant Admin access' action.</t>
        </is>
      </c>
      <c r="D99" s="27" t="inlineStr">
        <is>
          <t>No such button; attempts are blocked server-side.</t>
        </is>
      </c>
      <c r="E99" s="28" t="n"/>
      <c r="F99" s="27" t="n"/>
      <c r="G99" s="28" t="n"/>
    </row>
    <row r="100" ht="42" customHeight="1">
      <c r="A100" s="26" t="inlineStr">
        <is>
          <t>AD11</t>
        </is>
      </c>
      <c r="B100" s="27" t="inlineStr">
        <is>
          <t>As an Admin, I see and edit only my own organization.</t>
        </is>
      </c>
      <c r="C100" s="27" t="inlineStr">
        <is>
          <t>Open Organizations.</t>
        </is>
      </c>
      <c r="D100" s="27" t="inlineStr">
        <is>
          <t>Only your org shows; you can edit its settings.</t>
        </is>
      </c>
      <c r="E100" s="28" t="n"/>
      <c r="F100" s="27" t="n"/>
      <c r="G100" s="28" t="n"/>
    </row>
    <row r="101" ht="42" customHeight="1">
      <c r="A101" s="26" t="inlineStr">
        <is>
          <t>AD12</t>
        </is>
      </c>
      <c r="B101" s="27" t="inlineStr">
        <is>
          <t>As an Admin, I want to generate/rotate my org's join code.</t>
        </is>
      </c>
      <c r="C101" s="27" t="inlineStr">
        <is>
          <t>Organizations → set/generate a join code → save.</t>
        </is>
      </c>
      <c r="D101" s="27" t="inlineStr">
        <is>
          <t>Join code saved; usable at sign-up.</t>
        </is>
      </c>
      <c r="E101" s="28" t="n"/>
      <c r="F101" s="27" t="n"/>
      <c r="G101" s="28" t="n"/>
    </row>
    <row r="102" ht="42" customHeight="1">
      <c r="A102" s="26" t="inlineStr">
        <is>
          <t>AD13</t>
        </is>
      </c>
      <c r="B102" s="27" t="inlineStr">
        <is>
          <t>As an Admin, I cannot create organizations.</t>
        </is>
      </c>
      <c r="C102" s="27" t="inlineStr">
        <is>
          <t>Look for 'Add organization'.</t>
        </is>
      </c>
      <c r="D102" s="27" t="inlineStr">
        <is>
          <t>No Add button; creation blocked.</t>
        </is>
      </c>
      <c r="E102" s="28" t="n"/>
      <c r="F102" s="27" t="n"/>
      <c r="G102" s="28" t="n"/>
    </row>
    <row r="103" ht="42" customHeight="1">
      <c r="A103" s="26" t="inlineStr">
        <is>
          <t>AD14</t>
        </is>
      </c>
      <c r="B103" s="27" t="inlineStr">
        <is>
          <t>As an Admin, I cannot change the recycling cans total.</t>
        </is>
      </c>
      <c r="C103" s="27" t="inlineStr">
        <is>
          <t>Look for the cans/bin admin control.</t>
        </is>
      </c>
      <c r="D103" s="27" t="inlineStr">
        <is>
          <t>Not available (Super Admin only).</t>
        </is>
      </c>
      <c r="E103" s="28" t="n"/>
      <c r="F103" s="27" t="n"/>
      <c r="G103" s="28" t="n"/>
    </row>
    <row r="104" ht="42" customHeight="1">
      <c r="A104" s="26" t="inlineStr">
        <is>
          <t>AD15</t>
        </is>
      </c>
      <c r="B104" s="27" t="inlineStr">
        <is>
          <t>As an Admin, I can turn my activity emails off.</t>
        </is>
      </c>
      <c r="C104" s="27" t="inlineStr">
        <is>
          <t>Dashboard → Email notifications toggle off; have a student sign up for your event.</t>
        </is>
      </c>
      <c r="D104" s="27" t="inlineStr">
        <is>
          <t>No sign-up email arrives while off; turning it back on resumes them.</t>
        </is>
      </c>
      <c r="E104" s="28" t="n"/>
      <c r="F104" s="27" t="n"/>
      <c r="G104" s="28" t="n"/>
    </row>
    <row r="105" ht="42" customHeight="1">
      <c r="A105" s="26" t="inlineStr">
        <is>
          <t>AD16</t>
        </is>
      </c>
      <c r="B105" s="27" t="inlineStr">
        <is>
          <t>As an Admin creating a user, I choose among only my org(s).</t>
        </is>
      </c>
      <c r="C105" s="27" t="inlineStr">
        <is>
          <t>Add user → Organization picker.</t>
        </is>
      </c>
      <c r="D105" s="27" t="inlineStr">
        <is>
          <t>Only the org(s) I manage are listed (Super Admins see all + 'none').</t>
        </is>
      </c>
      <c r="E105" s="28" t="n"/>
      <c r="F105" s="27" t="n"/>
      <c r="G105" s="28" t="n"/>
    </row>
    <row r="106" ht="20" customHeight="1">
      <c r="A106" s="24" t="inlineStr">
        <is>
          <t>Super Admin (global)</t>
        </is>
      </c>
      <c r="B106" s="25" t="n"/>
      <c r="C106" s="25" t="n"/>
      <c r="D106" s="25" t="n"/>
      <c r="E106" s="25" t="n"/>
      <c r="F106" s="25" t="n"/>
      <c r="G106" s="25" t="n"/>
    </row>
    <row r="107" ht="42" customHeight="1">
      <c r="A107" s="26" t="inlineStr">
        <is>
          <t>SA1</t>
        </is>
      </c>
      <c r="B107" s="27" t="inlineStr">
        <is>
          <t>As a Super Admin, I want the correct menu tabs.</t>
        </is>
      </c>
      <c r="C107" s="27" t="inlineStr">
        <is>
          <t>Look at the left menu.</t>
        </is>
      </c>
      <c r="D107" s="27" t="inlineStr">
        <is>
          <t>Dashboard, Reports, Users, Events, Organizations (Help in footer).</t>
        </is>
      </c>
      <c r="E107" s="28" t="n"/>
      <c r="F107" s="27" t="n"/>
      <c r="G107" s="28" t="n"/>
    </row>
    <row r="108" ht="42" customHeight="1">
      <c r="A108" s="26" t="inlineStr">
        <is>
          <t>SA2</t>
        </is>
      </c>
      <c r="B108" s="27" t="inlineStr">
        <is>
          <t>As a Super Admin, I can do everything an Admin can, across all orgs.</t>
        </is>
      </c>
      <c r="C108" s="27" t="inlineStr">
        <is>
          <t>Spot-check user + org actions on more than one org.</t>
        </is>
      </c>
      <c r="D108" s="27" t="inlineStr">
        <is>
          <t>All allowed regardless of org.</t>
        </is>
      </c>
      <c r="E108" s="28" t="n"/>
      <c r="F108" s="27" t="n"/>
      <c r="G108" s="28" t="n"/>
    </row>
    <row r="109" ht="42" customHeight="1">
      <c r="A109" s="26" t="inlineStr">
        <is>
          <t>SA3</t>
        </is>
      </c>
      <c r="B109" s="27" t="inlineStr">
        <is>
          <t>As a Super Admin, I want to create users incl. Supervisor and Super Admin.</t>
        </is>
      </c>
      <c r="C109" s="27" t="inlineStr">
        <is>
          <t>Users → Add user → each role.</t>
        </is>
      </c>
      <c r="D109" s="27" t="inlineStr">
        <is>
          <t>Participant/Supervisor/Super Admin options available; account created + invite email.</t>
        </is>
      </c>
      <c r="E109" s="28" t="n"/>
      <c r="F109" s="27" t="n"/>
      <c r="G109" s="28" t="n"/>
    </row>
    <row r="110" ht="42" customHeight="1">
      <c r="A110" s="26" t="inlineStr">
        <is>
          <t>SA4</t>
        </is>
      </c>
      <c r="B110" s="27" t="inlineStr">
        <is>
          <t>As a Super Admin, I want to grant/revoke Admin access.</t>
        </is>
      </c>
      <c r="C110" s="27" t="inlineStr">
        <is>
          <t>Open a user → grant Admin access → check org(s) → save; then uncheck all → save.</t>
        </is>
      </c>
      <c r="D110" s="27" t="inlineStr">
        <is>
          <t>Checking orgs makes an Admin; unchecking all reverts to participant.</t>
        </is>
      </c>
      <c r="E110" s="28" t="n"/>
      <c r="F110" s="27" t="n"/>
      <c r="G110" s="28" t="n"/>
    </row>
    <row r="111" ht="42" customHeight="1">
      <c r="A111" s="26" t="inlineStr">
        <is>
          <t>SA5</t>
        </is>
      </c>
      <c r="B111" s="27" t="inlineStr">
        <is>
          <t>As a Super Admin, I want to create organizations + join codes.</t>
        </is>
      </c>
      <c r="C111" s="27" t="inlineStr">
        <is>
          <t>Organizations → Add organization → set details + join code.</t>
        </is>
      </c>
      <c r="D111" s="27" t="inlineStr">
        <is>
          <t>Org created with its join code.</t>
        </is>
      </c>
      <c r="E111" s="28" t="n"/>
      <c r="F111" s="27" t="n"/>
      <c r="G111" s="28" t="n"/>
    </row>
    <row r="112" ht="42" customHeight="1">
      <c r="A112" s="26" t="inlineStr">
        <is>
          <t>SA6</t>
        </is>
      </c>
      <c r="B112" s="27" t="inlineStr">
        <is>
          <t>As a Super Admin, I want to find users by type.</t>
        </is>
      </c>
      <c r="C112" s="27" t="inlineStr">
        <is>
          <t>Users → role filter pills + search.</t>
        </is>
      </c>
      <c r="D112" s="27" t="inlineStr">
        <is>
          <t>Filter by role with counts; search by name/email across all orgs.</t>
        </is>
      </c>
      <c r="E112" s="28" t="n"/>
      <c r="F112" s="27" t="n"/>
      <c r="G112" s="28" t="n"/>
    </row>
    <row r="113" ht="42" customHeight="1">
      <c r="A113" s="26" t="inlineStr">
        <is>
          <t>SA7</t>
        </is>
      </c>
      <c r="B113" s="27" t="inlineStr">
        <is>
          <t>As a Super Admin, I want to search events.</t>
        </is>
      </c>
      <c r="C113" s="27" t="inlineStr">
        <is>
          <t>Events → search + date range; check supervisor/org per card.</t>
        </is>
      </c>
      <c r="D113" s="27" t="inlineStr">
        <is>
          <t>Filters work; each event shows supervisor and organization.</t>
        </is>
      </c>
      <c r="E113" s="28" t="n"/>
      <c r="F113" s="27" t="n"/>
      <c r="G113" s="28" t="n"/>
    </row>
    <row r="114" ht="42" customHeight="1">
      <c r="A114" s="26" t="inlineStr">
        <is>
          <t>SA8</t>
        </is>
      </c>
      <c r="B114" s="27" t="inlineStr">
        <is>
          <t>As a Super Admin, I want clear event-visibility labels.</t>
        </is>
      </c>
      <c r="C114" s="27" t="inlineStr">
        <is>
          <t>New Event → 'Who can see this'.</t>
        </is>
      </c>
      <c r="D114" s="27" t="inlineStr">
        <is>
          <t>'Open to all (community)' and 'Only &lt;org&gt; students' with helper text.</t>
        </is>
      </c>
      <c r="E114" s="28" t="n"/>
      <c r="F114" s="27" t="n"/>
      <c r="G114" s="28" t="n"/>
    </row>
    <row r="115" ht="42" customHeight="1">
      <c r="A115" s="26" t="inlineStr">
        <is>
          <t>SA9</t>
        </is>
      </c>
      <c r="B115" s="27" t="inlineStr">
        <is>
          <t>As a Super Admin, I want program-wide reports.</t>
        </is>
      </c>
      <c r="C115" s="27" t="inlineStr">
        <is>
          <t>Open Reports / Dashboard.</t>
        </is>
      </c>
      <c r="D115" s="27" t="inlineStr">
        <is>
          <t>Totals and charts across the whole program.</t>
        </is>
      </c>
      <c r="E115" s="28" t="n"/>
      <c r="F115" s="27" t="n"/>
      <c r="G115" s="28" t="n"/>
    </row>
    <row r="116" ht="42" customHeight="1">
      <c r="A116" s="26" t="inlineStr">
        <is>
          <t>SA10</t>
        </is>
      </c>
      <c r="B116" s="27" t="inlineStr">
        <is>
          <t>As a Super Admin, I want to verify email works.</t>
        </is>
      </c>
      <c r="C116" s="27" t="inlineStr">
        <is>
          <t>Dashboard → Send test email.</t>
        </is>
      </c>
      <c r="D116" s="27" t="inlineStr">
        <is>
          <t>Result shown (success or the exact failure reason).</t>
        </is>
      </c>
      <c r="E116" s="28" t="n"/>
      <c r="F116" s="27" t="n"/>
      <c r="G116" s="28" t="n"/>
    </row>
    <row r="117" ht="42" customHeight="1">
      <c r="A117" s="26" t="inlineStr">
        <is>
          <t>SA11</t>
        </is>
      </c>
      <c r="B117" s="27" t="inlineStr">
        <is>
          <t>As a Super Admin, I want to update the recycling cans total.</t>
        </is>
      </c>
      <c r="C117" s="27" t="inlineStr">
        <is>
          <t>Use the cans/bin admin control.</t>
        </is>
      </c>
      <c r="D117" s="27" t="inlineStr">
        <is>
          <t>Total updates; the ribbon reflects it.</t>
        </is>
      </c>
      <c r="E117" s="28" t="n"/>
      <c r="F117" s="27" t="n"/>
      <c r="G117" s="28" t="n"/>
    </row>
    <row r="118" ht="42" customHeight="1">
      <c r="A118" s="26" t="inlineStr">
        <is>
          <t>SA12</t>
        </is>
      </c>
      <c r="B118" s="27" t="inlineStr">
        <is>
          <t>As a Super Admin, I want hours + records for any user.</t>
        </is>
      </c>
      <c r="C118" s="27" t="inlineStr">
        <is>
          <t>Add manual hours / open service record for any participant.</t>
        </is>
      </c>
      <c r="D118" s="27" t="inlineStr">
        <is>
          <t>Works for any org.</t>
        </is>
      </c>
      <c r="E118" s="28" t="n"/>
      <c r="F118" s="27" t="n"/>
      <c r="G118" s="28" t="n"/>
    </row>
    <row r="119" ht="42" customHeight="1">
      <c r="A119" s="26" t="inlineStr">
        <is>
          <t>SA13</t>
        </is>
      </c>
      <c r="B119" s="27" t="inlineStr">
        <is>
          <t>As a Super Admin, I want to set award thresholds by grade band and/or org.</t>
        </is>
      </c>
      <c r="C119" s="27" t="inlineStr">
        <is>
          <t>Award Thresholds → add a rule (e.g. Elementary 20/30/40) → save.</t>
        </is>
      </c>
      <c r="D119" s="27" t="inlineStr">
        <is>
          <t>Rule saved; an affected participant's dashboard/reports show the new bars; leaderboard/record medals follow.</t>
        </is>
      </c>
      <c r="E119" s="28" t="n"/>
      <c r="F119" s="27" t="n"/>
      <c r="G119" s="28" t="n"/>
    </row>
    <row r="120" ht="42" customHeight="1">
      <c r="A120" s="26" t="inlineStr">
        <is>
          <t>SA14</t>
        </is>
      </c>
      <c r="B120" s="27" t="inlineStr">
        <is>
          <t>As a Super Admin, I want an audit log of key actions.</t>
        </is>
      </c>
      <c r="C120" s="27" t="inlineStr">
        <is>
          <t>Do an action (create user, grant hours, edit org) → open Audit Log.</t>
        </is>
      </c>
      <c r="D120" s="27" t="inlineStr">
        <is>
          <t>The action appears with who/when; search + action filters work.</t>
        </is>
      </c>
      <c r="E120" s="28" t="n"/>
      <c r="F120" s="27" t="n"/>
      <c r="G120" s="28" t="n"/>
    </row>
    <row r="121" ht="42" customHeight="1">
      <c r="A121" s="26" t="inlineStr">
        <is>
          <t>SA15</t>
        </is>
      </c>
      <c r="B121" s="27" t="inlineStr">
        <is>
          <t>As a Super Admin, deleting a supervisor who runs events is blocked.</t>
        </is>
      </c>
      <c r="C121" s="27" t="inlineStr">
        <is>
          <t>Try to delete a supervisor who supervises 1+ events.</t>
        </is>
      </c>
      <c r="D121" s="27" t="inlineStr">
        <is>
          <t>Blocked with a clear message to reassign or remove their events first (events/hours preserved).</t>
        </is>
      </c>
      <c r="E121" s="28" t="n"/>
      <c r="F121" s="27" t="n"/>
      <c r="G121" s="28" t="n"/>
    </row>
    <row r="122" ht="42" customHeight="1">
      <c r="A122" s="26" t="inlineStr">
        <is>
          <t>SA16</t>
        </is>
      </c>
      <c r="B122" s="27" t="inlineStr">
        <is>
          <t>As a Super Admin, I want to reassign a supervisor's events, then delete them.</t>
        </is>
      </c>
      <c r="C122" s="27" t="inlineStr">
        <is>
          <t>Users → Reassign events → pick another supervisor → confirm; then delete the original.</t>
        </is>
      </c>
      <c r="D122" s="27" t="inlineStr">
        <is>
          <t>Events move to the new supervisor; the original can then be deleted.</t>
        </is>
      </c>
      <c r="E122" s="28" t="n"/>
      <c r="F122" s="27" t="n"/>
      <c r="G122" s="28" t="n"/>
    </row>
    <row r="123" ht="42" customHeight="1">
      <c r="A123" s="26" t="inlineStr">
        <is>
          <t>SA17</t>
        </is>
      </c>
      <c r="B123" s="27" t="inlineStr">
        <is>
          <t>As a Super Admin, creating a user pre-fills a temp password and emails an invite.</t>
        </is>
      </c>
      <c r="C123" s="27" t="inlineStr">
        <is>
          <t>Add user; note the temp password field is pre-filled (Supervisor123!); save.</t>
        </is>
      </c>
      <c r="D123" s="27" t="inlineStr">
        <is>
          <t>Account created; the person gets a set-password invite email.</t>
        </is>
      </c>
      <c r="E123" s="28" t="n"/>
      <c r="F123" s="27" t="n"/>
      <c r="G123" s="28" t="n"/>
    </row>
    <row r="124" ht="42" customHeight="1">
      <c r="A124" s="26" t="inlineStr">
        <is>
          <t>SA18</t>
        </is>
      </c>
      <c r="B124" s="27" t="inlineStr">
        <is>
          <t>As a Super Admin, I want to assign an org when creating a user.</t>
        </is>
      </c>
      <c r="C124" s="27" t="inlineStr">
        <is>
          <t>Add user → choose an Organization (or 'No specific organization') → save.</t>
        </is>
      </c>
      <c r="D124" s="27" t="inlineStr">
        <is>
          <t>The user is stamped to that org (visible/manageable by that org's Admin).</t>
        </is>
      </c>
      <c r="E124" s="28" t="n"/>
      <c r="F124" s="27" t="n"/>
      <c r="G124" s="28" t="n"/>
    </row>
    <row r="125" ht="20" customHeight="1">
      <c r="A125" s="24" t="inlineStr">
        <is>
          <t>Cross-cutting</t>
        </is>
      </c>
      <c r="B125" s="25" t="n"/>
      <c r="C125" s="25" t="n"/>
      <c r="D125" s="25" t="n"/>
      <c r="E125" s="25" t="n"/>
      <c r="F125" s="25" t="n"/>
      <c r="G125" s="25" t="n"/>
    </row>
    <row r="126" ht="42" customHeight="1">
      <c r="A126" s="26" t="inlineStr">
        <is>
          <t>X1</t>
        </is>
      </c>
      <c r="B126" s="27" t="inlineStr">
        <is>
          <t>As a phone user, I want a usable mobile layout.</t>
        </is>
      </c>
      <c r="C126" s="27" t="inlineStr">
        <is>
          <t>Open at phone width; use the menu drawer.</t>
        </is>
      </c>
      <c r="D126" s="27" t="inlineStr">
        <is>
          <t>Layout adapts; drawer opens/closes; no horizontal scroll.</t>
        </is>
      </c>
      <c r="E126" s="28" t="n"/>
      <c r="F126" s="27" t="n"/>
      <c r="G126" s="28" t="n"/>
    </row>
    <row r="127" ht="42" customHeight="1">
      <c r="A127" s="26" t="inlineStr">
        <is>
          <t>X2</t>
        </is>
      </c>
      <c r="B127" s="27" t="inlineStr">
        <is>
          <t>As a visitor, I want the recycling ribbon on the login page.</t>
        </is>
      </c>
      <c r="C127" s="27" t="inlineStr">
        <is>
          <t>Open login signed out.</t>
        </is>
      </c>
      <c r="D127" s="27" t="inlineStr">
        <is>
          <t>Green ribbon shows on login.</t>
        </is>
      </c>
      <c r="E127" s="28" t="n"/>
      <c r="F127" s="27" t="n"/>
      <c r="G127" s="28" t="n"/>
    </row>
  </sheetData>
  <mergeCells count="9">
    <mergeCell ref="A89:G89"/>
    <mergeCell ref="A58:G58"/>
    <mergeCell ref="A1:G1"/>
    <mergeCell ref="A106:G106"/>
    <mergeCell ref="A3:G3"/>
    <mergeCell ref="A35:G35"/>
    <mergeCell ref="A125:G125"/>
    <mergeCell ref="A64:G64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7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9:E63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65:E88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90:E10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107:E124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26:E127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7 E59:E63 E65:E88 E90:E105 E107:E124 E126:E127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Desktop Firefox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PE16</t>
        </is>
      </c>
      <c r="B49" s="27" t="inlineStr">
        <is>
          <t>As a parent, I want to browse/search opportunities for my child (upcoming &amp; past).</t>
        </is>
      </c>
      <c r="C49" s="27" t="inlineStr">
        <is>
          <t>Find Opportunities with the child selected; use search and the upcoming/past views.</t>
        </is>
      </c>
      <c r="D49" s="27" t="inlineStr">
        <is>
          <t>Same event list a participant sees, scoped to the child's grade/org.</t>
        </is>
      </c>
      <c r="E49" s="28" t="n"/>
      <c r="F49" s="27" t="n"/>
      <c r="G49" s="28" t="n"/>
    </row>
    <row r="50" ht="42" customHeight="1">
      <c r="A50" s="26" t="inlineStr">
        <is>
          <t>PE17</t>
        </is>
      </c>
      <c r="B50" s="27" t="inlineStr">
        <is>
          <t>As a parent, I want to withdraw my child from an event.</t>
        </is>
      </c>
      <c r="C50" s="27" t="inlineStr">
        <is>
          <t>Open the child's upcoming events → withdraw.</t>
        </is>
      </c>
      <c r="D50" s="27" t="inlineStr">
        <is>
          <t>The child is removed; the slot frees up.</t>
        </is>
      </c>
      <c r="E50" s="28" t="n"/>
      <c r="F50" s="27" t="n"/>
      <c r="G50" s="28" t="n"/>
    </row>
    <row r="51" ht="42" customHeight="1">
      <c r="A51" s="26" t="inlineStr">
        <is>
          <t>PE18</t>
        </is>
      </c>
      <c r="B51" s="27" t="inlineStr">
        <is>
          <t>As a parent, I want to check my child in on event day.</t>
        </is>
      </c>
      <c r="C51" s="27" t="inlineStr">
        <is>
          <t>On the event day within the window, check the child in.</t>
        </is>
      </c>
      <c r="D51" s="27" t="inlineStr">
        <is>
          <t>Check-in succeeds for the child.</t>
        </is>
      </c>
      <c r="E51" s="28" t="n"/>
      <c r="F51" s="27" t="n"/>
      <c r="G51" s="28" t="n"/>
    </row>
    <row r="52" ht="42" customHeight="1">
      <c r="A52" s="26" t="inlineStr">
        <is>
          <t>PE19</t>
        </is>
      </c>
      <c r="B52" s="27" t="inlineStr">
        <is>
          <t>As a parent, I want to see my child's medal progress.</t>
        </is>
      </c>
      <c r="C52" s="27" t="inlineStr">
        <is>
          <t>Open the dashboard / child card.</t>
        </is>
      </c>
      <c r="D52" s="27" t="inlineStr">
        <is>
          <t>Progress uses the child's grade-based thresholds (e.g. lower bar for younger grades).</t>
        </is>
      </c>
      <c r="E52" s="28" t="n"/>
      <c r="F52" s="27" t="n"/>
      <c r="G52" s="28" t="n"/>
    </row>
    <row r="53" ht="42" customHeight="1">
      <c r="A53" s="26" t="inlineStr">
        <is>
          <t>PE20</t>
        </is>
      </c>
      <c r="B53" s="27" t="inlineStr">
        <is>
          <t>As a parent, external &gt;5h for my child requires proof.</t>
        </is>
      </c>
      <c r="C53" s="27" t="inlineStr">
        <is>
          <t>Outside hours for the child, over 5 hours, without then with a proof file.</t>
        </is>
      </c>
      <c r="D53" s="27" t="inlineStr">
        <is>
          <t>Blocked without proof; submits with a photo/letter.</t>
        </is>
      </c>
      <c r="E53" s="28" t="n"/>
      <c r="F53" s="27" t="n"/>
      <c r="G53" s="28" t="n"/>
    </row>
    <row r="54" ht="42" customHeight="1">
      <c r="A54" s="26" t="inlineStr">
        <is>
          <t>PE14</t>
        </is>
      </c>
      <c r="B54" s="27" t="inlineStr">
        <is>
          <t>As a parent, I want to log my child's outside/nonprofit volunteering.</t>
        </is>
      </c>
      <c r="C54" s="27" t="inlineStr">
        <is>
          <t>Child card → 'Outside hours' → fill activity, org, date, hours, supervisor → Submit.</t>
        </is>
      </c>
      <c r="D54" s="27" t="inlineStr">
        <is>
          <t>External hours submitted for the child and sent for supervisor approval (proof required over 5h).</t>
        </is>
      </c>
      <c r="E54" s="28" t="n"/>
      <c r="F54" s="27" t="n"/>
      <c r="G54" s="28" t="n"/>
    </row>
    <row r="55" ht="42" customHeight="1">
      <c r="A55" s="26" t="inlineStr">
        <is>
          <t>PE15</t>
        </is>
      </c>
      <c r="B55" s="27" t="inlineStr">
        <is>
          <t>As a parent, I want my child's verified service record.</t>
        </is>
      </c>
      <c r="C55" s="27" t="inlineStr">
        <is>
          <t>Child card → 'Service record'.</t>
        </is>
      </c>
      <c r="D55" s="27" t="inlineStr">
        <is>
          <t>The child's itemized record opens; Print / Save-as-PDF works.</t>
        </is>
      </c>
      <c r="E55" s="28" t="n"/>
      <c r="F55" s="27" t="n"/>
      <c r="G55" s="28" t="n"/>
    </row>
    <row r="56" ht="42" customHeight="1">
      <c r="A56" s="26" t="inlineStr">
        <is>
          <t>PE22</t>
        </is>
      </c>
      <c r="B56" s="27" t="inlineStr">
        <is>
          <t>As a parent, I want to be emailed when my child's hours are reviewed.</t>
        </is>
      </c>
      <c r="C56" s="27" t="inlineStr">
        <is>
          <t>Have a supervisor approve then reject a submission for a managed child.</t>
        </is>
      </c>
      <c r="D56" s="27" t="inlineStr">
        <is>
          <t>You (the guardian) receive the approved / needs-attention emails, even though the child has no email of their own.</t>
        </is>
      </c>
      <c r="E56" s="28" t="n"/>
      <c r="F56" s="27" t="n"/>
      <c r="G56" s="28" t="n"/>
    </row>
    <row r="57" ht="42" customHeight="1">
      <c r="A57" s="26" t="inlineStr">
        <is>
          <t>PE23</t>
        </is>
      </c>
      <c r="B57" s="27" t="inlineStr">
        <is>
          <t>As a parent, I want to edit my child's details.</t>
        </is>
      </c>
      <c r="C57" s="27" t="inlineStr">
        <is>
          <t>Child card → Edit → change name/grade/school → save.</t>
        </is>
      </c>
      <c r="D57" s="27" t="inlineStr">
        <is>
          <t>Changes save for the managed child.</t>
        </is>
      </c>
      <c r="E57" s="28" t="n"/>
      <c r="F57" s="27" t="n"/>
      <c r="G57" s="28" t="n"/>
    </row>
    <row r="58" ht="20" customHeight="1">
      <c r="A58" s="24" t="inlineStr">
        <is>
          <t>Parent — viewer (grades 6–12 student)</t>
        </is>
      </c>
      <c r="B58" s="25" t="n"/>
      <c r="C58" s="25" t="n"/>
      <c r="D58" s="25" t="n"/>
      <c r="E58" s="25" t="n"/>
      <c r="F58" s="25" t="n"/>
      <c r="G58" s="25" t="n"/>
    </row>
    <row r="59" ht="42" customHeight="1">
      <c r="A59" s="26" t="inlineStr">
        <is>
          <t>PV1</t>
        </is>
      </c>
      <c r="B59" s="27" t="inlineStr">
        <is>
          <t>As a parent of a 6–12 student, I want to register for view-only access.</t>
        </is>
      </c>
      <c r="C59" s="27" t="inlineStr">
        <is>
          <t>Create account → parent of a 6–12 student.</t>
        </is>
      </c>
      <c r="D59" s="27" t="inlineStr">
        <is>
          <t>Account created; no invite required to register.</t>
        </is>
      </c>
      <c r="E59" s="28" t="n"/>
      <c r="F59" s="27" t="n"/>
      <c r="G59" s="28" t="n"/>
    </row>
    <row r="60" ht="42" customHeight="1">
      <c r="A60" s="26" t="inlineStr">
        <is>
          <t>PV2</t>
        </is>
      </c>
      <c r="B60" s="27" t="inlineStr">
        <is>
          <t>As a viewer parent, my student links automatically by email.</t>
        </is>
      </c>
      <c r="C60" s="27" t="inlineStr">
        <is>
          <t>Have a student enter this exact email as their parent email (before or after you register).</t>
        </is>
      </c>
      <c r="D60" s="27" t="inlineStr">
        <is>
          <t>The student appears on your dashboard automatically; empty until then.</t>
        </is>
      </c>
      <c r="E60" s="28" t="n"/>
      <c r="F60" s="27" t="n"/>
      <c r="G60" s="28" t="n"/>
    </row>
    <row r="61" ht="42" customHeight="1">
      <c r="A61" s="26" t="inlineStr">
        <is>
          <t>PV3</t>
        </is>
      </c>
      <c r="B61" s="27" t="inlineStr">
        <is>
          <t>As a viewer parent, I want to see my student's schedule/progress.</t>
        </is>
      </c>
      <c r="C61" s="27" t="inlineStr">
        <is>
          <t>Open the dashboard.</t>
        </is>
      </c>
      <c r="D61" s="27" t="inlineStr">
        <is>
          <t>View-only schedule and progress.</t>
        </is>
      </c>
      <c r="E61" s="28" t="n"/>
      <c r="F61" s="27" t="n"/>
      <c r="G61" s="28" t="n"/>
    </row>
    <row r="62" ht="42" customHeight="1">
      <c r="A62" s="26" t="inlineStr">
        <is>
          <t>PV4</t>
        </is>
      </c>
      <c r="B62" s="27" t="inlineStr">
        <is>
          <t>As a viewer parent, I do NOT sign the student up.</t>
        </is>
      </c>
      <c r="C62" s="27" t="inlineStr">
        <is>
          <t>Look for a sign-up action.</t>
        </is>
      </c>
      <c r="D62" s="27" t="inlineStr">
        <is>
          <t>No sign-up on the student's behalf — the student self-serves.</t>
        </is>
      </c>
      <c r="E62" s="28" t="n"/>
      <c r="F62" s="27" t="n"/>
      <c r="G62" s="28" t="n"/>
    </row>
    <row r="63" ht="42" customHeight="1">
      <c r="A63" s="26" t="inlineStr">
        <is>
          <t>PV5</t>
        </is>
      </c>
      <c r="B63" s="27" t="inlineStr">
        <is>
          <t>As a viewer parent, I want to invite a co-guardian.</t>
        </is>
      </c>
      <c r="C63" s="27" t="inlineStr">
        <is>
          <t>Invite a co-guardian by email.</t>
        </is>
      </c>
      <c r="D63" s="27" t="inlineStr">
        <is>
          <t>Invite email sent; shared access on registration.</t>
        </is>
      </c>
      <c r="E63" s="28" t="n"/>
      <c r="F63" s="27" t="n"/>
      <c r="G63" s="28" t="n"/>
    </row>
    <row r="64" ht="20" customHeight="1">
      <c r="A64" s="24" t="inlineStr">
        <is>
          <t>Supervisor (created by an Admin)</t>
        </is>
      </c>
      <c r="B64" s="25" t="n"/>
      <c r="C64" s="25" t="n"/>
      <c r="D64" s="25" t="n"/>
      <c r="E64" s="25" t="n"/>
      <c r="F64" s="25" t="n"/>
      <c r="G64" s="25" t="n"/>
    </row>
    <row r="65" ht="42" customHeight="1">
      <c r="A65" s="26" t="inlineStr">
        <is>
          <t>SV1</t>
        </is>
      </c>
      <c r="B65" s="27" t="inlineStr">
        <is>
          <t>As the program, a supervisor cannot self-register.</t>
        </is>
      </c>
      <c r="C65" s="27" t="inlineStr">
        <is>
          <t>Review the sign-up options.</t>
        </is>
      </c>
      <c r="D65" s="27" t="inlineStr">
        <is>
          <t>No supervisor option exists on registration.</t>
        </is>
      </c>
      <c r="E65" s="28" t="n"/>
      <c r="F65" s="27" t="n"/>
      <c r="G65" s="28" t="n"/>
    </row>
    <row r="66" ht="42" customHeight="1">
      <c r="A66" s="26" t="inlineStr">
        <is>
          <t>SV2</t>
        </is>
      </c>
      <c r="B66" s="27" t="inlineStr">
        <is>
          <t>As a new supervisor, I get an invite to set my password.</t>
        </is>
      </c>
      <c r="C66" s="27" t="inlineStr">
        <is>
          <t>Have an Admin create your account; open the invite email; set password; sign in.</t>
        </is>
      </c>
      <c r="D66" s="27" t="inlineStr">
        <is>
          <t>Invite email arrives with a working set-password link; you can sign in.</t>
        </is>
      </c>
      <c r="E66" s="28" t="n"/>
      <c r="F66" s="27" t="n"/>
      <c r="G66" s="28" t="n"/>
    </row>
    <row r="67" ht="42" customHeight="1">
      <c r="A67" s="26" t="inlineStr">
        <is>
          <t>SV3</t>
        </is>
      </c>
      <c r="B67" s="27" t="inlineStr">
        <is>
          <t>As a supervisor, I want the correct 7 left-menu tabs.</t>
        </is>
      </c>
      <c r="C67" s="27" t="inlineStr">
        <is>
          <t>Look at the left menu.</t>
        </is>
      </c>
      <c r="D67" s="27" t="inlineStr">
        <is>
          <t>Dashboard, Pending Reviews, Reviewed History, My Events, All Opportunities, My Hours, Help.</t>
        </is>
      </c>
      <c r="E67" s="28" t="n"/>
      <c r="F67" s="27" t="n"/>
      <c r="G67" s="28" t="n"/>
    </row>
    <row r="68" ht="42" customHeight="1">
      <c r="A68" s="26" t="inlineStr">
        <is>
          <t>SV4</t>
        </is>
      </c>
      <c r="B68" s="27" t="inlineStr">
        <is>
          <t>As a supervisor, I want a dashboard.</t>
        </is>
      </c>
      <c r="C68" s="27" t="inlineStr">
        <is>
          <t>Open the dashboard.</t>
        </is>
      </c>
      <c r="D68" s="27" t="inlineStr">
        <is>
          <t>Review queue, approved/rejected counts, registrations, hours, upcoming events + Roster links.</t>
        </is>
      </c>
      <c r="E68" s="28" t="n"/>
      <c r="F68" s="27" t="n"/>
      <c r="G68" s="28" t="n"/>
    </row>
    <row r="69" ht="42" customHeight="1">
      <c r="A69" s="26" t="inlineStr">
        <is>
          <t>SV5</t>
        </is>
      </c>
      <c r="B69" s="27" t="inlineStr">
        <is>
          <t>As a supervisor, I want to approve hours.</t>
        </is>
      </c>
      <c r="C69" s="27" t="inlineStr">
        <is>
          <t>Pending Reviews → open → Approve.</t>
        </is>
      </c>
      <c r="D69" s="27" t="inlineStr">
        <is>
          <t>Approved; moves to Reviewed History; participant total updates; email sent.</t>
        </is>
      </c>
      <c r="E69" s="28" t="n"/>
      <c r="F69" s="27" t="n"/>
      <c r="G69" s="28" t="n"/>
    </row>
    <row r="70" ht="42" customHeight="1">
      <c r="A70" s="26" t="inlineStr">
        <is>
          <t>SV6</t>
        </is>
      </c>
      <c r="B70" s="27" t="inlineStr">
        <is>
          <t>As a supervisor, I want to reject hours with a reason.</t>
        </is>
      </c>
      <c r="C70" s="27" t="inlineStr">
        <is>
          <t>Reject without a reason, then with one.</t>
        </is>
      </c>
      <c r="D70" s="27" t="inlineStr">
        <is>
          <t>Blocked until a reason is given; then rejected and the participant notified.</t>
        </is>
      </c>
      <c r="E70" s="28" t="n"/>
      <c r="F70" s="27" t="n"/>
      <c r="G70" s="28" t="n"/>
    </row>
    <row r="71" ht="42" customHeight="1">
      <c r="A71" s="26" t="inlineStr">
        <is>
          <t>SV7</t>
        </is>
      </c>
      <c r="B71" s="27" t="inlineStr">
        <is>
          <t>As a supervisor, I want to review external submissions.</t>
        </is>
      </c>
      <c r="C71" s="27" t="inlineStr">
        <is>
          <t>Pending Reviews → external tab → approve/reject.</t>
        </is>
      </c>
      <c r="D71" s="27" t="inlineStr">
        <is>
          <t>External items reviewable, including any proof.</t>
        </is>
      </c>
      <c r="E71" s="28" t="n"/>
      <c r="F71" s="27" t="n"/>
      <c r="G71" s="28" t="n"/>
    </row>
    <row r="72" ht="42" customHeight="1">
      <c r="A72" s="26" t="inlineStr">
        <is>
          <t>SV8</t>
        </is>
      </c>
      <c r="B72" s="27" t="inlineStr">
        <is>
          <t>As a supervisor, I want to create an event.</t>
        </is>
      </c>
      <c r="C72" s="27" t="inlineStr">
        <is>
          <t>New Event → title, description, slot, address, date, times, capacity, grade limits → save.</t>
        </is>
      </c>
      <c r="D72" s="27" t="inlineStr">
        <is>
          <t>Credit auto-calculated from times; event created in My Events.</t>
        </is>
      </c>
      <c r="E72" s="28" t="n"/>
      <c r="F72" s="27" t="n"/>
      <c r="G72" s="28" t="n"/>
    </row>
    <row r="73" ht="42" customHeight="1">
      <c r="A73" s="26" t="inlineStr">
        <is>
          <t>SV9</t>
        </is>
      </c>
      <c r="B73" s="27" t="inlineStr">
        <is>
          <t>As a supervisor, I want to edit an event.</t>
        </is>
      </c>
      <c r="C73" s="27" t="inlineStr">
        <is>
          <t>My Events → edit → save.</t>
        </is>
      </c>
      <c r="D73" s="27" t="inlineStr">
        <is>
          <t>Changes persist and show to participants.</t>
        </is>
      </c>
      <c r="E73" s="28" t="n"/>
      <c r="F73" s="27" t="n"/>
      <c r="G73" s="28" t="n"/>
    </row>
    <row r="74" ht="42" customHeight="1">
      <c r="A74" s="26" t="inlineStr">
        <is>
          <t>SV10</t>
        </is>
      </c>
      <c r="B74" s="27" t="inlineStr">
        <is>
          <t>As a supervisor, I want to delete an event with no approved hours.</t>
        </is>
      </c>
      <c r="C74" s="27" t="inlineStr">
        <is>
          <t>Delete such an event → confirm.</t>
        </is>
      </c>
      <c r="D74" s="27" t="inlineStr">
        <is>
          <t>Event deleted.</t>
        </is>
      </c>
      <c r="E74" s="28" t="n"/>
      <c r="F74" s="27" t="n"/>
      <c r="G74" s="28" t="n"/>
    </row>
    <row r="75" ht="42" customHeight="1">
      <c r="A75" s="26" t="inlineStr">
        <is>
          <t>SV11</t>
        </is>
      </c>
      <c r="B75" s="27" t="inlineStr">
        <is>
          <t>As a supervisor, deleting an event with approved hours is blocked.</t>
        </is>
      </c>
      <c r="C75" s="27" t="inlineStr">
        <is>
          <t>Try to delete an event that has approved hours.</t>
        </is>
      </c>
      <c r="D75" s="27" t="inlineStr">
        <is>
          <t>Blocked with a message that approved hours must be preserved.</t>
        </is>
      </c>
      <c r="E75" s="28" t="n"/>
      <c r="F75" s="27" t="n"/>
      <c r="G75" s="28" t="n"/>
    </row>
    <row r="76" ht="42" customHeight="1">
      <c r="A76" s="26" t="inlineStr">
        <is>
          <t>SV12</t>
        </is>
      </c>
      <c r="B76" s="27" t="inlineStr">
        <is>
          <t>As a supervisor, I want to see who signed up.</t>
        </is>
      </c>
      <c r="C76" s="27" t="inlineStr">
        <is>
          <t>Open the event Roster.</t>
        </is>
      </c>
      <c r="D76" s="27" t="inlineStr">
        <is>
          <t>Registrants listed with grade and status.</t>
        </is>
      </c>
      <c r="E76" s="28" t="n"/>
      <c r="F76" s="27" t="n"/>
      <c r="G76" s="28" t="n"/>
    </row>
    <row r="77" ht="42" customHeight="1">
      <c r="A77" s="26" t="inlineStr">
        <is>
          <t>SV13</t>
        </is>
      </c>
      <c r="B77" s="27" t="inlineStr">
        <is>
          <t>As a supervisor, I want to check people in / mark no-show.</t>
        </is>
      </c>
      <c r="C77" s="27" t="inlineStr">
        <is>
          <t>On the roster, Check in and Mark no-show.</t>
        </is>
      </c>
      <c r="D77" s="27" t="inlineStr">
        <is>
          <t>Status updates and persists.</t>
        </is>
      </c>
      <c r="E77" s="28" t="n"/>
      <c r="F77" s="27" t="n"/>
      <c r="G77" s="28" t="n"/>
    </row>
    <row r="78" ht="42" customHeight="1">
      <c r="A78" s="26" t="inlineStr">
        <is>
          <t>SV14</t>
        </is>
      </c>
      <c r="B78" s="27" t="inlineStr">
        <is>
          <t>As a supervisor, I want to message everyone signed up.</t>
        </is>
      </c>
      <c r="C78" s="27" t="inlineStr">
        <is>
          <t>Roster → Message attendees → subject+message → send (include guardians on).</t>
        </is>
      </c>
      <c r="D78" s="27" t="inlineStr">
        <is>
          <t>Each registrant (and guardians) emailed individually; recipient count shown.</t>
        </is>
      </c>
      <c r="E78" s="28" t="n"/>
      <c r="F78" s="27" t="n"/>
      <c r="G78" s="28" t="n"/>
    </row>
    <row r="79" ht="42" customHeight="1">
      <c r="A79" s="26" t="inlineStr">
        <is>
          <t>SV15</t>
        </is>
      </c>
      <c r="B79" s="27" t="inlineStr">
        <is>
          <t>As a supervisor, I want a history of what I reviewed.</t>
        </is>
      </c>
      <c r="C79" s="27" t="inlineStr">
        <is>
          <t>Open Reviewed History.</t>
        </is>
      </c>
      <c r="D79" s="27" t="inlineStr">
        <is>
          <t>Every approved/rejected item with dates and volunteers.</t>
        </is>
      </c>
      <c r="E79" s="28" t="n"/>
      <c r="F79" s="27" t="n"/>
      <c r="G79" s="28" t="n"/>
    </row>
    <row r="80" ht="42" customHeight="1">
      <c r="A80" s="26" t="inlineStr">
        <is>
          <t>SV16</t>
        </is>
      </c>
      <c r="B80" s="27" t="inlineStr">
        <is>
          <t>As a supervisor, I want to browse all opportunities view-only.</t>
        </is>
      </c>
      <c r="C80" s="27" t="inlineStr">
        <is>
          <t>All Opportunities → search / upcoming-past.</t>
        </is>
      </c>
      <c r="D80" s="27" t="inlineStr">
        <is>
          <t>Every event listed read-only; can't edit others' events.</t>
        </is>
      </c>
      <c r="E80" s="28" t="n"/>
      <c r="F80" s="27" t="n"/>
      <c r="G80" s="28" t="n"/>
    </row>
    <row r="81" ht="42" customHeight="1">
      <c r="A81" s="26" t="inlineStr">
        <is>
          <t>SV17</t>
        </is>
      </c>
      <c r="B81" s="27" t="inlineStr">
        <is>
          <t>As a supervisor, I want to log my own adult hours.</t>
        </is>
      </c>
      <c r="C81" s="27" t="inlineStr">
        <is>
          <t>My Hours → log an activity, date, hours → save.</t>
        </is>
      </c>
      <c r="D81" s="27" t="inlineStr">
        <is>
          <t>Recorded instantly with a running total; clearly NOT part of the student competition.</t>
        </is>
      </c>
      <c r="E81" s="28" t="n"/>
      <c r="F81" s="27" t="n"/>
      <c r="G81" s="28" t="n"/>
    </row>
    <row r="82" ht="42" customHeight="1">
      <c r="A82" s="26" t="inlineStr">
        <is>
          <t>SV18</t>
        </is>
      </c>
      <c r="B82" s="27" t="inlineStr">
        <is>
          <t>As a supervisor, I want to delete an adult-hours entry.</t>
        </is>
      </c>
      <c r="C82" s="27" t="inlineStr">
        <is>
          <t>My Hours → delete an entry → confirm.</t>
        </is>
      </c>
      <c r="D82" s="27" t="inlineStr">
        <is>
          <t>Removed; total updates.</t>
        </is>
      </c>
      <c r="E82" s="28" t="n"/>
      <c r="F82" s="27" t="n"/>
      <c r="G82" s="28" t="n"/>
    </row>
    <row r="83" ht="42" customHeight="1">
      <c r="A83" s="26" t="inlineStr">
        <is>
          <t>SV19</t>
        </is>
      </c>
      <c r="B83" s="27" t="inlineStr">
        <is>
          <t>As a supervisor, I must NOT access user or org management.</t>
        </is>
      </c>
      <c r="C83" s="27" t="inlineStr">
        <is>
          <t>Look for Users / Organizations in the menu.</t>
        </is>
      </c>
      <c r="D83" s="27" t="inlineStr">
        <is>
          <t>Those tabs are absent; direct URLs are blocked.</t>
        </is>
      </c>
      <c r="E83" s="28" t="n"/>
      <c r="F83" s="27" t="n"/>
      <c r="G83" s="28" t="n"/>
    </row>
    <row r="84" ht="42" customHeight="1">
      <c r="A84" s="26" t="inlineStr">
        <is>
          <t>SV20</t>
        </is>
      </c>
      <c r="B84" s="27" t="inlineStr">
        <is>
          <t>As a supervisor, I want to attach files to a message.</t>
        </is>
      </c>
      <c r="C84" s="27" t="inlineStr">
        <is>
          <t>Roster → Message attendees → add an image/PDF (≤10 MB) → send.</t>
        </is>
      </c>
      <c r="D84" s="27" t="inlineStr">
        <is>
          <t>The attachment uploads, appears in the dialog, and arrives with the email.</t>
        </is>
      </c>
      <c r="E84" s="28" t="n"/>
      <c r="F84" s="27" t="n"/>
      <c r="G84" s="28" t="n"/>
    </row>
    <row r="85" ht="42" customHeight="1">
      <c r="A85" s="26" t="inlineStr">
        <is>
          <t>SV21</t>
        </is>
      </c>
      <c r="B85" s="27" t="inlineStr">
        <is>
          <t>As a supervisor, I want an email when someone signs up.</t>
        </is>
      </c>
      <c r="C85" s="27" t="inlineStr">
        <is>
          <t>Have a participant sign up for your event (with notifications on).</t>
        </is>
      </c>
      <c r="D85" s="27" t="inlineStr">
        <is>
          <t>You receive a sign-up email; toggling notifications off stops them.</t>
        </is>
      </c>
      <c r="E85" s="28" t="n"/>
      <c r="F85" s="27" t="n"/>
      <c r="G85" s="28" t="n"/>
    </row>
    <row r="86" ht="42" customHeight="1">
      <c r="A86" s="26" t="inlineStr">
        <is>
          <t>SV22</t>
        </is>
      </c>
      <c r="B86" s="27" t="inlineStr">
        <is>
          <t>As a supervisor, I want to verify who's a real member before sharing access.</t>
        </is>
      </c>
      <c r="C86" s="27" t="inlineStr">
        <is>
          <t>Open the Roster and read the attendee badges.</t>
        </is>
      </c>
      <c r="D86" s="27" t="inlineStr">
        <is>
          <t>Each shows their org, or 'Community · unverified'; a warning reminds you to confirm before sharing a building QR.</t>
        </is>
      </c>
      <c r="E86" s="28" t="n"/>
      <c r="F86" s="27" t="n"/>
      <c r="G86" s="28" t="n"/>
    </row>
    <row r="87" ht="42" customHeight="1">
      <c r="A87" s="26" t="inlineStr">
        <is>
          <t>SV23</t>
        </is>
      </c>
      <c r="B87" s="27" t="inlineStr">
        <is>
          <t>As a supervisor, I want to add a specific student to my event by email.</t>
        </is>
      </c>
      <c r="C87" s="27" t="inlineStr">
        <is>
          <t>Roster → Add a participant → enter their account email → Add.</t>
        </is>
      </c>
      <c r="D87" s="27" t="inlineStr">
        <is>
          <t>They're registered and emailed ('added to &lt;event&gt;'); it appears in their schedule. Works even for a student from another org (you vouch), without opening the event.</t>
        </is>
      </c>
      <c r="E87" s="28" t="n"/>
      <c r="F87" s="27" t="n"/>
      <c r="G87" s="28" t="n"/>
    </row>
    <row r="88" ht="42" customHeight="1">
      <c r="A88" s="26" t="inlineStr">
        <is>
          <t>SV24</t>
        </is>
      </c>
      <c r="B88" s="27" t="inlineStr">
        <is>
          <t>As the program, a gated event stays closed to non-members who aren't added.</t>
        </is>
      </c>
      <c r="C88" s="27" t="inlineStr">
        <is>
          <t>As a student not in the org, look for the gated event.</t>
        </is>
      </c>
      <c r="D88" s="27" t="inlineStr">
        <is>
          <t>It never appears for self sign-up; only a supervisor can add them.</t>
        </is>
      </c>
      <c r="E88" s="28" t="n"/>
      <c r="F88" s="27" t="n"/>
      <c r="G88" s="28" t="n"/>
    </row>
    <row r="89" ht="20" customHeight="1">
      <c r="A89" s="24" t="inlineStr">
        <is>
          <t>Admin (org-scoped)</t>
        </is>
      </c>
      <c r="B89" s="25" t="n"/>
      <c r="C89" s="25" t="n"/>
      <c r="D89" s="25" t="n"/>
      <c r="E89" s="25" t="n"/>
      <c r="F89" s="25" t="n"/>
      <c r="G89" s="25" t="n"/>
    </row>
    <row r="90" ht="42" customHeight="1">
      <c r="A90" s="26" t="inlineStr">
        <is>
          <t>AD1</t>
        </is>
      </c>
      <c r="B90" s="27" t="inlineStr">
        <is>
          <t>As an Admin, I want the correct menu tabs.</t>
        </is>
      </c>
      <c r="C90" s="27" t="inlineStr">
        <is>
          <t>Look at the left menu.</t>
        </is>
      </c>
      <c r="D90" s="27" t="inlineStr">
        <is>
          <t>Dashboard, Pending Reviews, Reviewed History, My Events, All Opportunities, Users, Organizations, My Hours, Help.</t>
        </is>
      </c>
      <c r="E90" s="28" t="n"/>
      <c r="F90" s="27" t="n"/>
      <c r="G90" s="28" t="n"/>
    </row>
    <row r="91" ht="42" customHeight="1">
      <c r="A91" s="26" t="inlineStr">
        <is>
          <t>AD2</t>
        </is>
      </c>
      <c r="B91" s="27" t="inlineStr">
        <is>
          <t>As an Admin, I can do everything a supervisor can.</t>
        </is>
      </c>
      <c r="C91" s="27" t="inlineStr">
        <is>
          <t>Spot-check: approve an item and create an event.</t>
        </is>
      </c>
      <c r="D91" s="27" t="inlineStr">
        <is>
          <t>Both work.</t>
        </is>
      </c>
      <c r="E91" s="28" t="n"/>
      <c r="F91" s="27" t="n"/>
      <c r="G91" s="28" t="n"/>
    </row>
    <row r="92" ht="42" customHeight="1">
      <c r="A92" s="26" t="inlineStr">
        <is>
          <t>AD3</t>
        </is>
      </c>
      <c r="B92" s="27" t="inlineStr">
        <is>
          <t>As an Admin, I only see my org's non-admin users.</t>
        </is>
      </c>
      <c r="C92" s="27" t="inlineStr">
        <is>
          <t>Open Users.</t>
        </is>
      </c>
      <c r="D92" s="27" t="inlineStr">
        <is>
          <t>Only participants/parents/supervisors in your org; no admins/super admins; no other orgs.</t>
        </is>
      </c>
      <c r="E92" s="28" t="n"/>
      <c r="F92" s="27" t="n"/>
      <c r="G92" s="28" t="n"/>
    </row>
    <row r="93" ht="42" customHeight="1">
      <c r="A93" s="26" t="inlineStr">
        <is>
          <t>AD4</t>
        </is>
      </c>
      <c r="B93" s="27" t="inlineStr">
        <is>
          <t>As an Admin, I want to add a supervisor.</t>
        </is>
      </c>
      <c r="C93" s="27" t="inlineStr">
        <is>
          <t>Users → Add user → Supervisor → save.</t>
        </is>
      </c>
      <c r="D93" s="27" t="inlineStr">
        <is>
          <t>Supervisor created, stamped to your org; invite email sent.</t>
        </is>
      </c>
      <c r="E93" s="28" t="n"/>
      <c r="F93" s="27" t="n"/>
      <c r="G93" s="28" t="n"/>
    </row>
    <row r="94" ht="42" customHeight="1">
      <c r="A94" s="26" t="inlineStr">
        <is>
          <t>AD5</t>
        </is>
      </c>
      <c r="B94" s="27" t="inlineStr">
        <is>
          <t>As an Admin, I want to create a participant as a fallback.</t>
        </is>
      </c>
      <c r="C94" s="27" t="inlineStr">
        <is>
          <t>Users → Add user → Participant → save.</t>
        </is>
      </c>
      <c r="D94" s="27" t="inlineStr">
        <is>
          <t>Participant created with a set-password invite (no silent password).</t>
        </is>
      </c>
      <c r="E94" s="28" t="n"/>
      <c r="F94" s="27" t="n"/>
      <c r="G94" s="28" t="n"/>
    </row>
    <row r="95" ht="42" customHeight="1">
      <c r="A95" s="26" t="inlineStr">
        <is>
          <t>AD6</t>
        </is>
      </c>
      <c r="B95" s="27" t="inlineStr">
        <is>
          <t>As an Admin, I want to grant participant hours.</t>
        </is>
      </c>
      <c r="C95" s="27" t="inlineStr">
        <is>
          <t>Open a participant in your org → Add hours.</t>
        </is>
      </c>
      <c r="D95" s="27" t="inlineStr">
        <is>
          <t>Hours auto-approved; count toward their total/medals.</t>
        </is>
      </c>
      <c r="E95" s="28" t="n"/>
      <c r="F95" s="27" t="n"/>
      <c r="G95" s="28" t="n"/>
    </row>
    <row r="96" ht="42" customHeight="1">
      <c r="A96" s="26" t="inlineStr">
        <is>
          <t>AD7</t>
        </is>
      </c>
      <c r="B96" s="27" t="inlineStr">
        <is>
          <t>As an Admin, I want a participant's service record.</t>
        </is>
      </c>
      <c r="C96" s="27" t="inlineStr">
        <is>
          <t>Users → Service record for a participant in your org.</t>
        </is>
      </c>
      <c r="D96" s="27" t="inlineStr">
        <is>
          <t>Record opens.</t>
        </is>
      </c>
      <c r="E96" s="28" t="n"/>
      <c r="F96" s="27" t="n"/>
      <c r="G96" s="28" t="n"/>
    </row>
    <row r="97" ht="42" customHeight="1">
      <c r="A97" s="26" t="inlineStr">
        <is>
          <t>AD8</t>
        </is>
      </c>
      <c r="B97" s="27" t="inlineStr">
        <is>
          <t>As an Admin, I want to edit/delete my org's users.</t>
        </is>
      </c>
      <c r="C97" s="27" t="inlineStr">
        <is>
          <t>Edit a name/phone; delete a test user.</t>
        </is>
      </c>
      <c r="D97" s="27" t="inlineStr">
        <is>
          <t>Changes apply within your org.</t>
        </is>
      </c>
      <c r="E97" s="28" t="n"/>
      <c r="F97" s="27" t="n"/>
      <c r="G97" s="28" t="n"/>
    </row>
    <row r="98" ht="42" customHeight="1">
      <c r="A98" s="26" t="inlineStr">
        <is>
          <t>AD9</t>
        </is>
      </c>
      <c r="B98" s="27" t="inlineStr">
        <is>
          <t>As an Admin, I must NOT act on users outside my org.</t>
        </is>
      </c>
      <c r="C98" s="27" t="inlineStr">
        <is>
          <t>Attempt to reach another org's user (e.g. direct URL).</t>
        </is>
      </c>
      <c r="D98" s="27" t="inlineStr">
        <is>
          <t>Blocked / not visible.</t>
        </is>
      </c>
      <c r="E98" s="28" t="n"/>
      <c r="F98" s="27" t="n"/>
      <c r="G98" s="28" t="n"/>
    </row>
    <row r="99" ht="42" customHeight="1">
      <c r="A99" s="26" t="inlineStr">
        <is>
          <t>AD10</t>
        </is>
      </c>
      <c r="B99" s="27" t="inlineStr">
        <is>
          <t>As an Admin, I cannot grant Admin access or manage admins.</t>
        </is>
      </c>
      <c r="C99" s="27" t="inlineStr">
        <is>
          <t>Look for the 'grant Admin access' action.</t>
        </is>
      </c>
      <c r="D99" s="27" t="inlineStr">
        <is>
          <t>No such button; attempts are blocked server-side.</t>
        </is>
      </c>
      <c r="E99" s="28" t="n"/>
      <c r="F99" s="27" t="n"/>
      <c r="G99" s="28" t="n"/>
    </row>
    <row r="100" ht="42" customHeight="1">
      <c r="A100" s="26" t="inlineStr">
        <is>
          <t>AD11</t>
        </is>
      </c>
      <c r="B100" s="27" t="inlineStr">
        <is>
          <t>As an Admin, I see and edit only my own organization.</t>
        </is>
      </c>
      <c r="C100" s="27" t="inlineStr">
        <is>
          <t>Open Organizations.</t>
        </is>
      </c>
      <c r="D100" s="27" t="inlineStr">
        <is>
          <t>Only your org shows; you can edit its settings.</t>
        </is>
      </c>
      <c r="E100" s="28" t="n"/>
      <c r="F100" s="27" t="n"/>
      <c r="G100" s="28" t="n"/>
    </row>
    <row r="101" ht="42" customHeight="1">
      <c r="A101" s="26" t="inlineStr">
        <is>
          <t>AD12</t>
        </is>
      </c>
      <c r="B101" s="27" t="inlineStr">
        <is>
          <t>As an Admin, I want to generate/rotate my org's join code.</t>
        </is>
      </c>
      <c r="C101" s="27" t="inlineStr">
        <is>
          <t>Organizations → set/generate a join code → save.</t>
        </is>
      </c>
      <c r="D101" s="27" t="inlineStr">
        <is>
          <t>Join code saved; usable at sign-up.</t>
        </is>
      </c>
      <c r="E101" s="28" t="n"/>
      <c r="F101" s="27" t="n"/>
      <c r="G101" s="28" t="n"/>
    </row>
    <row r="102" ht="42" customHeight="1">
      <c r="A102" s="26" t="inlineStr">
        <is>
          <t>AD13</t>
        </is>
      </c>
      <c r="B102" s="27" t="inlineStr">
        <is>
          <t>As an Admin, I cannot create organizations.</t>
        </is>
      </c>
      <c r="C102" s="27" t="inlineStr">
        <is>
          <t>Look for 'Add organization'.</t>
        </is>
      </c>
      <c r="D102" s="27" t="inlineStr">
        <is>
          <t>No Add button; creation blocked.</t>
        </is>
      </c>
      <c r="E102" s="28" t="n"/>
      <c r="F102" s="27" t="n"/>
      <c r="G102" s="28" t="n"/>
    </row>
    <row r="103" ht="42" customHeight="1">
      <c r="A103" s="26" t="inlineStr">
        <is>
          <t>AD14</t>
        </is>
      </c>
      <c r="B103" s="27" t="inlineStr">
        <is>
          <t>As an Admin, I cannot change the recycling cans total.</t>
        </is>
      </c>
      <c r="C103" s="27" t="inlineStr">
        <is>
          <t>Look for the cans/bin admin control.</t>
        </is>
      </c>
      <c r="D103" s="27" t="inlineStr">
        <is>
          <t>Not available (Super Admin only).</t>
        </is>
      </c>
      <c r="E103" s="28" t="n"/>
      <c r="F103" s="27" t="n"/>
      <c r="G103" s="28" t="n"/>
    </row>
    <row r="104" ht="42" customHeight="1">
      <c r="A104" s="26" t="inlineStr">
        <is>
          <t>AD15</t>
        </is>
      </c>
      <c r="B104" s="27" t="inlineStr">
        <is>
          <t>As an Admin, I can turn my activity emails off.</t>
        </is>
      </c>
      <c r="C104" s="27" t="inlineStr">
        <is>
          <t>Dashboard → Email notifications toggle off; have a student sign up for your event.</t>
        </is>
      </c>
      <c r="D104" s="27" t="inlineStr">
        <is>
          <t>No sign-up email arrives while off; turning it back on resumes them.</t>
        </is>
      </c>
      <c r="E104" s="28" t="n"/>
      <c r="F104" s="27" t="n"/>
      <c r="G104" s="28" t="n"/>
    </row>
    <row r="105" ht="42" customHeight="1">
      <c r="A105" s="26" t="inlineStr">
        <is>
          <t>AD16</t>
        </is>
      </c>
      <c r="B105" s="27" t="inlineStr">
        <is>
          <t>As an Admin creating a user, I choose among only my org(s).</t>
        </is>
      </c>
      <c r="C105" s="27" t="inlineStr">
        <is>
          <t>Add user → Organization picker.</t>
        </is>
      </c>
      <c r="D105" s="27" t="inlineStr">
        <is>
          <t>Only the org(s) I manage are listed (Super Admins see all + 'none').</t>
        </is>
      </c>
      <c r="E105" s="28" t="n"/>
      <c r="F105" s="27" t="n"/>
      <c r="G105" s="28" t="n"/>
    </row>
    <row r="106" ht="20" customHeight="1">
      <c r="A106" s="24" t="inlineStr">
        <is>
          <t>Super Admin (global)</t>
        </is>
      </c>
      <c r="B106" s="25" t="n"/>
      <c r="C106" s="25" t="n"/>
      <c r="D106" s="25" t="n"/>
      <c r="E106" s="25" t="n"/>
      <c r="F106" s="25" t="n"/>
      <c r="G106" s="25" t="n"/>
    </row>
    <row r="107" ht="42" customHeight="1">
      <c r="A107" s="26" t="inlineStr">
        <is>
          <t>SA1</t>
        </is>
      </c>
      <c r="B107" s="27" t="inlineStr">
        <is>
          <t>As a Super Admin, I want the correct menu tabs.</t>
        </is>
      </c>
      <c r="C107" s="27" t="inlineStr">
        <is>
          <t>Look at the left menu.</t>
        </is>
      </c>
      <c r="D107" s="27" t="inlineStr">
        <is>
          <t>Dashboard, Reports, Users, Events, Organizations (Help in footer).</t>
        </is>
      </c>
      <c r="E107" s="28" t="n"/>
      <c r="F107" s="27" t="n"/>
      <c r="G107" s="28" t="n"/>
    </row>
    <row r="108" ht="42" customHeight="1">
      <c r="A108" s="26" t="inlineStr">
        <is>
          <t>SA2</t>
        </is>
      </c>
      <c r="B108" s="27" t="inlineStr">
        <is>
          <t>As a Super Admin, I can do everything an Admin can, across all orgs.</t>
        </is>
      </c>
      <c r="C108" s="27" t="inlineStr">
        <is>
          <t>Spot-check user + org actions on more than one org.</t>
        </is>
      </c>
      <c r="D108" s="27" t="inlineStr">
        <is>
          <t>All allowed regardless of org.</t>
        </is>
      </c>
      <c r="E108" s="28" t="n"/>
      <c r="F108" s="27" t="n"/>
      <c r="G108" s="28" t="n"/>
    </row>
    <row r="109" ht="42" customHeight="1">
      <c r="A109" s="26" t="inlineStr">
        <is>
          <t>SA3</t>
        </is>
      </c>
      <c r="B109" s="27" t="inlineStr">
        <is>
          <t>As a Super Admin, I want to create users incl. Supervisor and Super Admin.</t>
        </is>
      </c>
      <c r="C109" s="27" t="inlineStr">
        <is>
          <t>Users → Add user → each role.</t>
        </is>
      </c>
      <c r="D109" s="27" t="inlineStr">
        <is>
          <t>Participant/Supervisor/Super Admin options available; account created + invite email.</t>
        </is>
      </c>
      <c r="E109" s="28" t="n"/>
      <c r="F109" s="27" t="n"/>
      <c r="G109" s="28" t="n"/>
    </row>
    <row r="110" ht="42" customHeight="1">
      <c r="A110" s="26" t="inlineStr">
        <is>
          <t>SA4</t>
        </is>
      </c>
      <c r="B110" s="27" t="inlineStr">
        <is>
          <t>As a Super Admin, I want to grant/revoke Admin access.</t>
        </is>
      </c>
      <c r="C110" s="27" t="inlineStr">
        <is>
          <t>Open a user → grant Admin access → check org(s) → save; then uncheck all → save.</t>
        </is>
      </c>
      <c r="D110" s="27" t="inlineStr">
        <is>
          <t>Checking orgs makes an Admin; unchecking all reverts to participant.</t>
        </is>
      </c>
      <c r="E110" s="28" t="n"/>
      <c r="F110" s="27" t="n"/>
      <c r="G110" s="28" t="n"/>
    </row>
    <row r="111" ht="42" customHeight="1">
      <c r="A111" s="26" t="inlineStr">
        <is>
          <t>SA5</t>
        </is>
      </c>
      <c r="B111" s="27" t="inlineStr">
        <is>
          <t>As a Super Admin, I want to create organizations + join codes.</t>
        </is>
      </c>
      <c r="C111" s="27" t="inlineStr">
        <is>
          <t>Organizations → Add organization → set details + join code.</t>
        </is>
      </c>
      <c r="D111" s="27" t="inlineStr">
        <is>
          <t>Org created with its join code.</t>
        </is>
      </c>
      <c r="E111" s="28" t="n"/>
      <c r="F111" s="27" t="n"/>
      <c r="G111" s="28" t="n"/>
    </row>
    <row r="112" ht="42" customHeight="1">
      <c r="A112" s="26" t="inlineStr">
        <is>
          <t>SA6</t>
        </is>
      </c>
      <c r="B112" s="27" t="inlineStr">
        <is>
          <t>As a Super Admin, I want to find users by type.</t>
        </is>
      </c>
      <c r="C112" s="27" t="inlineStr">
        <is>
          <t>Users → role filter pills + search.</t>
        </is>
      </c>
      <c r="D112" s="27" t="inlineStr">
        <is>
          <t>Filter by role with counts; search by name/email across all orgs.</t>
        </is>
      </c>
      <c r="E112" s="28" t="n"/>
      <c r="F112" s="27" t="n"/>
      <c r="G112" s="28" t="n"/>
    </row>
    <row r="113" ht="42" customHeight="1">
      <c r="A113" s="26" t="inlineStr">
        <is>
          <t>SA7</t>
        </is>
      </c>
      <c r="B113" s="27" t="inlineStr">
        <is>
          <t>As a Super Admin, I want to search events.</t>
        </is>
      </c>
      <c r="C113" s="27" t="inlineStr">
        <is>
          <t>Events → search + date range; check supervisor/org per card.</t>
        </is>
      </c>
      <c r="D113" s="27" t="inlineStr">
        <is>
          <t>Filters work; each event shows supervisor and organization.</t>
        </is>
      </c>
      <c r="E113" s="28" t="n"/>
      <c r="F113" s="27" t="n"/>
      <c r="G113" s="28" t="n"/>
    </row>
    <row r="114" ht="42" customHeight="1">
      <c r="A114" s="26" t="inlineStr">
        <is>
          <t>SA8</t>
        </is>
      </c>
      <c r="B114" s="27" t="inlineStr">
        <is>
          <t>As a Super Admin, I want clear event-visibility labels.</t>
        </is>
      </c>
      <c r="C114" s="27" t="inlineStr">
        <is>
          <t>New Event → 'Who can see this'.</t>
        </is>
      </c>
      <c r="D114" s="27" t="inlineStr">
        <is>
          <t>'Open to all (community)' and 'Only &lt;org&gt; students' with helper text.</t>
        </is>
      </c>
      <c r="E114" s="28" t="n"/>
      <c r="F114" s="27" t="n"/>
      <c r="G114" s="28" t="n"/>
    </row>
    <row r="115" ht="42" customHeight="1">
      <c r="A115" s="26" t="inlineStr">
        <is>
          <t>SA9</t>
        </is>
      </c>
      <c r="B115" s="27" t="inlineStr">
        <is>
          <t>As a Super Admin, I want program-wide reports.</t>
        </is>
      </c>
      <c r="C115" s="27" t="inlineStr">
        <is>
          <t>Open Reports / Dashboard.</t>
        </is>
      </c>
      <c r="D115" s="27" t="inlineStr">
        <is>
          <t>Totals and charts across the whole program.</t>
        </is>
      </c>
      <c r="E115" s="28" t="n"/>
      <c r="F115" s="27" t="n"/>
      <c r="G115" s="28" t="n"/>
    </row>
    <row r="116" ht="42" customHeight="1">
      <c r="A116" s="26" t="inlineStr">
        <is>
          <t>SA10</t>
        </is>
      </c>
      <c r="B116" s="27" t="inlineStr">
        <is>
          <t>As a Super Admin, I want to verify email works.</t>
        </is>
      </c>
      <c r="C116" s="27" t="inlineStr">
        <is>
          <t>Dashboard → Send test email.</t>
        </is>
      </c>
      <c r="D116" s="27" t="inlineStr">
        <is>
          <t>Result shown (success or the exact failure reason).</t>
        </is>
      </c>
      <c r="E116" s="28" t="n"/>
      <c r="F116" s="27" t="n"/>
      <c r="G116" s="28" t="n"/>
    </row>
    <row r="117" ht="42" customHeight="1">
      <c r="A117" s="26" t="inlineStr">
        <is>
          <t>SA11</t>
        </is>
      </c>
      <c r="B117" s="27" t="inlineStr">
        <is>
          <t>As a Super Admin, I want to update the recycling cans total.</t>
        </is>
      </c>
      <c r="C117" s="27" t="inlineStr">
        <is>
          <t>Use the cans/bin admin control.</t>
        </is>
      </c>
      <c r="D117" s="27" t="inlineStr">
        <is>
          <t>Total updates; the ribbon reflects it.</t>
        </is>
      </c>
      <c r="E117" s="28" t="n"/>
      <c r="F117" s="27" t="n"/>
      <c r="G117" s="28" t="n"/>
    </row>
    <row r="118" ht="42" customHeight="1">
      <c r="A118" s="26" t="inlineStr">
        <is>
          <t>SA12</t>
        </is>
      </c>
      <c r="B118" s="27" t="inlineStr">
        <is>
          <t>As a Super Admin, I want hours + records for any user.</t>
        </is>
      </c>
      <c r="C118" s="27" t="inlineStr">
        <is>
          <t>Add manual hours / open service record for any participant.</t>
        </is>
      </c>
      <c r="D118" s="27" t="inlineStr">
        <is>
          <t>Works for any org.</t>
        </is>
      </c>
      <c r="E118" s="28" t="n"/>
      <c r="F118" s="27" t="n"/>
      <c r="G118" s="28" t="n"/>
    </row>
    <row r="119" ht="42" customHeight="1">
      <c r="A119" s="26" t="inlineStr">
        <is>
          <t>SA13</t>
        </is>
      </c>
      <c r="B119" s="27" t="inlineStr">
        <is>
          <t>As a Super Admin, I want to set award thresholds by grade band and/or org.</t>
        </is>
      </c>
      <c r="C119" s="27" t="inlineStr">
        <is>
          <t>Award Thresholds → add a rule (e.g. Elementary 20/30/40) → save.</t>
        </is>
      </c>
      <c r="D119" s="27" t="inlineStr">
        <is>
          <t>Rule saved; an affected participant's dashboard/reports show the new bars; leaderboard/record medals follow.</t>
        </is>
      </c>
      <c r="E119" s="28" t="n"/>
      <c r="F119" s="27" t="n"/>
      <c r="G119" s="28" t="n"/>
    </row>
    <row r="120" ht="42" customHeight="1">
      <c r="A120" s="26" t="inlineStr">
        <is>
          <t>SA14</t>
        </is>
      </c>
      <c r="B120" s="27" t="inlineStr">
        <is>
          <t>As a Super Admin, I want an audit log of key actions.</t>
        </is>
      </c>
      <c r="C120" s="27" t="inlineStr">
        <is>
          <t>Do an action (create user, grant hours, edit org) → open Audit Log.</t>
        </is>
      </c>
      <c r="D120" s="27" t="inlineStr">
        <is>
          <t>The action appears with who/when; search + action filters work.</t>
        </is>
      </c>
      <c r="E120" s="28" t="n"/>
      <c r="F120" s="27" t="n"/>
      <c r="G120" s="28" t="n"/>
    </row>
    <row r="121" ht="42" customHeight="1">
      <c r="A121" s="26" t="inlineStr">
        <is>
          <t>SA15</t>
        </is>
      </c>
      <c r="B121" s="27" t="inlineStr">
        <is>
          <t>As a Super Admin, deleting a supervisor who runs events is blocked.</t>
        </is>
      </c>
      <c r="C121" s="27" t="inlineStr">
        <is>
          <t>Try to delete a supervisor who supervises 1+ events.</t>
        </is>
      </c>
      <c r="D121" s="27" t="inlineStr">
        <is>
          <t>Blocked with a clear message to reassign or remove their events first (events/hours preserved).</t>
        </is>
      </c>
      <c r="E121" s="28" t="n"/>
      <c r="F121" s="27" t="n"/>
      <c r="G121" s="28" t="n"/>
    </row>
    <row r="122" ht="42" customHeight="1">
      <c r="A122" s="26" t="inlineStr">
        <is>
          <t>SA16</t>
        </is>
      </c>
      <c r="B122" s="27" t="inlineStr">
        <is>
          <t>As a Super Admin, I want to reassign a supervisor's events, then delete them.</t>
        </is>
      </c>
      <c r="C122" s="27" t="inlineStr">
        <is>
          <t>Users → Reassign events → pick another supervisor → confirm; then delete the original.</t>
        </is>
      </c>
      <c r="D122" s="27" t="inlineStr">
        <is>
          <t>Events move to the new supervisor; the original can then be deleted.</t>
        </is>
      </c>
      <c r="E122" s="28" t="n"/>
      <c r="F122" s="27" t="n"/>
      <c r="G122" s="28" t="n"/>
    </row>
    <row r="123" ht="42" customHeight="1">
      <c r="A123" s="26" t="inlineStr">
        <is>
          <t>SA17</t>
        </is>
      </c>
      <c r="B123" s="27" t="inlineStr">
        <is>
          <t>As a Super Admin, creating a user pre-fills a temp password and emails an invite.</t>
        </is>
      </c>
      <c r="C123" s="27" t="inlineStr">
        <is>
          <t>Add user; note the temp password field is pre-filled (Supervisor123!); save.</t>
        </is>
      </c>
      <c r="D123" s="27" t="inlineStr">
        <is>
          <t>Account created; the person gets a set-password invite email.</t>
        </is>
      </c>
      <c r="E123" s="28" t="n"/>
      <c r="F123" s="27" t="n"/>
      <c r="G123" s="28" t="n"/>
    </row>
    <row r="124" ht="42" customHeight="1">
      <c r="A124" s="26" t="inlineStr">
        <is>
          <t>SA18</t>
        </is>
      </c>
      <c r="B124" s="27" t="inlineStr">
        <is>
          <t>As a Super Admin, I want to assign an org when creating a user.</t>
        </is>
      </c>
      <c r="C124" s="27" t="inlineStr">
        <is>
          <t>Add user → choose an Organization (or 'No specific organization') → save.</t>
        </is>
      </c>
      <c r="D124" s="27" t="inlineStr">
        <is>
          <t>The user is stamped to that org (visible/manageable by that org's Admin).</t>
        </is>
      </c>
      <c r="E124" s="28" t="n"/>
      <c r="F124" s="27" t="n"/>
      <c r="G124" s="28" t="n"/>
    </row>
    <row r="125" ht="20" customHeight="1">
      <c r="A125" s="24" t="inlineStr">
        <is>
          <t>Cross-cutting</t>
        </is>
      </c>
      <c r="B125" s="25" t="n"/>
      <c r="C125" s="25" t="n"/>
      <c r="D125" s="25" t="n"/>
      <c r="E125" s="25" t="n"/>
      <c r="F125" s="25" t="n"/>
      <c r="G125" s="25" t="n"/>
    </row>
    <row r="126" ht="42" customHeight="1">
      <c r="A126" s="26" t="inlineStr">
        <is>
          <t>X1</t>
        </is>
      </c>
      <c r="B126" s="27" t="inlineStr">
        <is>
          <t>As a phone user, I want a usable mobile layout.</t>
        </is>
      </c>
      <c r="C126" s="27" t="inlineStr">
        <is>
          <t>Open at phone width; use the menu drawer.</t>
        </is>
      </c>
      <c r="D126" s="27" t="inlineStr">
        <is>
          <t>Layout adapts; drawer opens/closes; no horizontal scroll.</t>
        </is>
      </c>
      <c r="E126" s="28" t="n"/>
      <c r="F126" s="27" t="n"/>
      <c r="G126" s="28" t="n"/>
    </row>
    <row r="127" ht="42" customHeight="1">
      <c r="A127" s="26" t="inlineStr">
        <is>
          <t>X2</t>
        </is>
      </c>
      <c r="B127" s="27" t="inlineStr">
        <is>
          <t>As a visitor, I want the recycling ribbon on the login page.</t>
        </is>
      </c>
      <c r="C127" s="27" t="inlineStr">
        <is>
          <t>Open login signed out.</t>
        </is>
      </c>
      <c r="D127" s="27" t="inlineStr">
        <is>
          <t>Green ribbon shows on login.</t>
        </is>
      </c>
      <c r="E127" s="28" t="n"/>
      <c r="F127" s="27" t="n"/>
      <c r="G127" s="28" t="n"/>
    </row>
  </sheetData>
  <mergeCells count="9">
    <mergeCell ref="A89:G89"/>
    <mergeCell ref="A58:G58"/>
    <mergeCell ref="A1:G1"/>
    <mergeCell ref="A106:G106"/>
    <mergeCell ref="A3:G3"/>
    <mergeCell ref="A35:G35"/>
    <mergeCell ref="A125:G125"/>
    <mergeCell ref="A64:G64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7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9:E63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65:E88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90:E10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107:E124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26:E127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7 E59:E63 E65:E88 E90:E105 E107:E124 E126:E127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Desktop Other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PE16</t>
        </is>
      </c>
      <c r="B49" s="27" t="inlineStr">
        <is>
          <t>As a parent, I want to browse/search opportunities for my child (upcoming &amp; past).</t>
        </is>
      </c>
      <c r="C49" s="27" t="inlineStr">
        <is>
          <t>Find Opportunities with the child selected; use search and the upcoming/past views.</t>
        </is>
      </c>
      <c r="D49" s="27" t="inlineStr">
        <is>
          <t>Same event list a participant sees, scoped to the child's grade/org.</t>
        </is>
      </c>
      <c r="E49" s="28" t="n"/>
      <c r="F49" s="27" t="n"/>
      <c r="G49" s="28" t="n"/>
    </row>
    <row r="50" ht="42" customHeight="1">
      <c r="A50" s="26" t="inlineStr">
        <is>
          <t>PE17</t>
        </is>
      </c>
      <c r="B50" s="27" t="inlineStr">
        <is>
          <t>As a parent, I want to withdraw my child from an event.</t>
        </is>
      </c>
      <c r="C50" s="27" t="inlineStr">
        <is>
          <t>Open the child's upcoming events → withdraw.</t>
        </is>
      </c>
      <c r="D50" s="27" t="inlineStr">
        <is>
          <t>The child is removed; the slot frees up.</t>
        </is>
      </c>
      <c r="E50" s="28" t="n"/>
      <c r="F50" s="27" t="n"/>
      <c r="G50" s="28" t="n"/>
    </row>
    <row r="51" ht="42" customHeight="1">
      <c r="A51" s="26" t="inlineStr">
        <is>
          <t>PE18</t>
        </is>
      </c>
      <c r="B51" s="27" t="inlineStr">
        <is>
          <t>As a parent, I want to check my child in on event day.</t>
        </is>
      </c>
      <c r="C51" s="27" t="inlineStr">
        <is>
          <t>On the event day within the window, check the child in.</t>
        </is>
      </c>
      <c r="D51" s="27" t="inlineStr">
        <is>
          <t>Check-in succeeds for the child.</t>
        </is>
      </c>
      <c r="E51" s="28" t="n"/>
      <c r="F51" s="27" t="n"/>
      <c r="G51" s="28" t="n"/>
    </row>
    <row r="52" ht="42" customHeight="1">
      <c r="A52" s="26" t="inlineStr">
        <is>
          <t>PE19</t>
        </is>
      </c>
      <c r="B52" s="27" t="inlineStr">
        <is>
          <t>As a parent, I want to see my child's medal progress.</t>
        </is>
      </c>
      <c r="C52" s="27" t="inlineStr">
        <is>
          <t>Open the dashboard / child card.</t>
        </is>
      </c>
      <c r="D52" s="27" t="inlineStr">
        <is>
          <t>Progress uses the child's grade-based thresholds (e.g. lower bar for younger grades).</t>
        </is>
      </c>
      <c r="E52" s="28" t="n"/>
      <c r="F52" s="27" t="n"/>
      <c r="G52" s="28" t="n"/>
    </row>
    <row r="53" ht="42" customHeight="1">
      <c r="A53" s="26" t="inlineStr">
        <is>
          <t>PE20</t>
        </is>
      </c>
      <c r="B53" s="27" t="inlineStr">
        <is>
          <t>As a parent, external &gt;5h for my child requires proof.</t>
        </is>
      </c>
      <c r="C53" s="27" t="inlineStr">
        <is>
          <t>Outside hours for the child, over 5 hours, without then with a proof file.</t>
        </is>
      </c>
      <c r="D53" s="27" t="inlineStr">
        <is>
          <t>Blocked without proof; submits with a photo/letter.</t>
        </is>
      </c>
      <c r="E53" s="28" t="n"/>
      <c r="F53" s="27" t="n"/>
      <c r="G53" s="28" t="n"/>
    </row>
    <row r="54" ht="42" customHeight="1">
      <c r="A54" s="26" t="inlineStr">
        <is>
          <t>PE14</t>
        </is>
      </c>
      <c r="B54" s="27" t="inlineStr">
        <is>
          <t>As a parent, I want to log my child's outside/nonprofit volunteering.</t>
        </is>
      </c>
      <c r="C54" s="27" t="inlineStr">
        <is>
          <t>Child card → 'Outside hours' → fill activity, org, date, hours, supervisor → Submit.</t>
        </is>
      </c>
      <c r="D54" s="27" t="inlineStr">
        <is>
          <t>External hours submitted for the child and sent for supervisor approval (proof required over 5h).</t>
        </is>
      </c>
      <c r="E54" s="28" t="n"/>
      <c r="F54" s="27" t="n"/>
      <c r="G54" s="28" t="n"/>
    </row>
    <row r="55" ht="42" customHeight="1">
      <c r="A55" s="26" t="inlineStr">
        <is>
          <t>PE15</t>
        </is>
      </c>
      <c r="B55" s="27" t="inlineStr">
        <is>
          <t>As a parent, I want my child's verified service record.</t>
        </is>
      </c>
      <c r="C55" s="27" t="inlineStr">
        <is>
          <t>Child card → 'Service record'.</t>
        </is>
      </c>
      <c r="D55" s="27" t="inlineStr">
        <is>
          <t>The child's itemized record opens; Print / Save-as-PDF works.</t>
        </is>
      </c>
      <c r="E55" s="28" t="n"/>
      <c r="F55" s="27" t="n"/>
      <c r="G55" s="28" t="n"/>
    </row>
    <row r="56" ht="42" customHeight="1">
      <c r="A56" s="26" t="inlineStr">
        <is>
          <t>PE22</t>
        </is>
      </c>
      <c r="B56" s="27" t="inlineStr">
        <is>
          <t>As a parent, I want to be emailed when my child's hours are reviewed.</t>
        </is>
      </c>
      <c r="C56" s="27" t="inlineStr">
        <is>
          <t>Have a supervisor approve then reject a submission for a managed child.</t>
        </is>
      </c>
      <c r="D56" s="27" t="inlineStr">
        <is>
          <t>You (the guardian) receive the approved / needs-attention emails, even though the child has no email of their own.</t>
        </is>
      </c>
      <c r="E56" s="28" t="n"/>
      <c r="F56" s="27" t="n"/>
      <c r="G56" s="28" t="n"/>
    </row>
    <row r="57" ht="42" customHeight="1">
      <c r="A57" s="26" t="inlineStr">
        <is>
          <t>PE23</t>
        </is>
      </c>
      <c r="B57" s="27" t="inlineStr">
        <is>
          <t>As a parent, I want to edit my child's details.</t>
        </is>
      </c>
      <c r="C57" s="27" t="inlineStr">
        <is>
          <t>Child card → Edit → change name/grade/school → save.</t>
        </is>
      </c>
      <c r="D57" s="27" t="inlineStr">
        <is>
          <t>Changes save for the managed child.</t>
        </is>
      </c>
      <c r="E57" s="28" t="n"/>
      <c r="F57" s="27" t="n"/>
      <c r="G57" s="28" t="n"/>
    </row>
    <row r="58" ht="20" customHeight="1">
      <c r="A58" s="24" t="inlineStr">
        <is>
          <t>Parent — viewer (grades 6–12 student)</t>
        </is>
      </c>
      <c r="B58" s="25" t="n"/>
      <c r="C58" s="25" t="n"/>
      <c r="D58" s="25" t="n"/>
      <c r="E58" s="25" t="n"/>
      <c r="F58" s="25" t="n"/>
      <c r="G58" s="25" t="n"/>
    </row>
    <row r="59" ht="42" customHeight="1">
      <c r="A59" s="26" t="inlineStr">
        <is>
          <t>PV1</t>
        </is>
      </c>
      <c r="B59" s="27" t="inlineStr">
        <is>
          <t>As a parent of a 6–12 student, I want to register for view-only access.</t>
        </is>
      </c>
      <c r="C59" s="27" t="inlineStr">
        <is>
          <t>Create account → parent of a 6–12 student.</t>
        </is>
      </c>
      <c r="D59" s="27" t="inlineStr">
        <is>
          <t>Account created; no invite required to register.</t>
        </is>
      </c>
      <c r="E59" s="28" t="n"/>
      <c r="F59" s="27" t="n"/>
      <c r="G59" s="28" t="n"/>
    </row>
    <row r="60" ht="42" customHeight="1">
      <c r="A60" s="26" t="inlineStr">
        <is>
          <t>PV2</t>
        </is>
      </c>
      <c r="B60" s="27" t="inlineStr">
        <is>
          <t>As a viewer parent, my student links automatically by email.</t>
        </is>
      </c>
      <c r="C60" s="27" t="inlineStr">
        <is>
          <t>Have a student enter this exact email as their parent email (before or after you register).</t>
        </is>
      </c>
      <c r="D60" s="27" t="inlineStr">
        <is>
          <t>The student appears on your dashboard automatically; empty until then.</t>
        </is>
      </c>
      <c r="E60" s="28" t="n"/>
      <c r="F60" s="27" t="n"/>
      <c r="G60" s="28" t="n"/>
    </row>
    <row r="61" ht="42" customHeight="1">
      <c r="A61" s="26" t="inlineStr">
        <is>
          <t>PV3</t>
        </is>
      </c>
      <c r="B61" s="27" t="inlineStr">
        <is>
          <t>As a viewer parent, I want to see my student's schedule/progress.</t>
        </is>
      </c>
      <c r="C61" s="27" t="inlineStr">
        <is>
          <t>Open the dashboard.</t>
        </is>
      </c>
      <c r="D61" s="27" t="inlineStr">
        <is>
          <t>View-only schedule and progress.</t>
        </is>
      </c>
      <c r="E61" s="28" t="n"/>
      <c r="F61" s="27" t="n"/>
      <c r="G61" s="28" t="n"/>
    </row>
    <row r="62" ht="42" customHeight="1">
      <c r="A62" s="26" t="inlineStr">
        <is>
          <t>PV4</t>
        </is>
      </c>
      <c r="B62" s="27" t="inlineStr">
        <is>
          <t>As a viewer parent, I do NOT sign the student up.</t>
        </is>
      </c>
      <c r="C62" s="27" t="inlineStr">
        <is>
          <t>Look for a sign-up action.</t>
        </is>
      </c>
      <c r="D62" s="27" t="inlineStr">
        <is>
          <t>No sign-up on the student's behalf — the student self-serves.</t>
        </is>
      </c>
      <c r="E62" s="28" t="n"/>
      <c r="F62" s="27" t="n"/>
      <c r="G62" s="28" t="n"/>
    </row>
    <row r="63" ht="42" customHeight="1">
      <c r="A63" s="26" t="inlineStr">
        <is>
          <t>PV5</t>
        </is>
      </c>
      <c r="B63" s="27" t="inlineStr">
        <is>
          <t>As a viewer parent, I want to invite a co-guardian.</t>
        </is>
      </c>
      <c r="C63" s="27" t="inlineStr">
        <is>
          <t>Invite a co-guardian by email.</t>
        </is>
      </c>
      <c r="D63" s="27" t="inlineStr">
        <is>
          <t>Invite email sent; shared access on registration.</t>
        </is>
      </c>
      <c r="E63" s="28" t="n"/>
      <c r="F63" s="27" t="n"/>
      <c r="G63" s="28" t="n"/>
    </row>
    <row r="64" ht="20" customHeight="1">
      <c r="A64" s="24" t="inlineStr">
        <is>
          <t>Supervisor (created by an Admin)</t>
        </is>
      </c>
      <c r="B64" s="25" t="n"/>
      <c r="C64" s="25" t="n"/>
      <c r="D64" s="25" t="n"/>
      <c r="E64" s="25" t="n"/>
      <c r="F64" s="25" t="n"/>
      <c r="G64" s="25" t="n"/>
    </row>
    <row r="65" ht="42" customHeight="1">
      <c r="A65" s="26" t="inlineStr">
        <is>
          <t>SV1</t>
        </is>
      </c>
      <c r="B65" s="27" t="inlineStr">
        <is>
          <t>As the program, a supervisor cannot self-register.</t>
        </is>
      </c>
      <c r="C65" s="27" t="inlineStr">
        <is>
          <t>Review the sign-up options.</t>
        </is>
      </c>
      <c r="D65" s="27" t="inlineStr">
        <is>
          <t>No supervisor option exists on registration.</t>
        </is>
      </c>
      <c r="E65" s="28" t="n"/>
      <c r="F65" s="27" t="n"/>
      <c r="G65" s="28" t="n"/>
    </row>
    <row r="66" ht="42" customHeight="1">
      <c r="A66" s="26" t="inlineStr">
        <is>
          <t>SV2</t>
        </is>
      </c>
      <c r="B66" s="27" t="inlineStr">
        <is>
          <t>As a new supervisor, I get an invite to set my password.</t>
        </is>
      </c>
      <c r="C66" s="27" t="inlineStr">
        <is>
          <t>Have an Admin create your account; open the invite email; set password; sign in.</t>
        </is>
      </c>
      <c r="D66" s="27" t="inlineStr">
        <is>
          <t>Invite email arrives with a working set-password link; you can sign in.</t>
        </is>
      </c>
      <c r="E66" s="28" t="n"/>
      <c r="F66" s="27" t="n"/>
      <c r="G66" s="28" t="n"/>
    </row>
    <row r="67" ht="42" customHeight="1">
      <c r="A67" s="26" t="inlineStr">
        <is>
          <t>SV3</t>
        </is>
      </c>
      <c r="B67" s="27" t="inlineStr">
        <is>
          <t>As a supervisor, I want the correct 7 left-menu tabs.</t>
        </is>
      </c>
      <c r="C67" s="27" t="inlineStr">
        <is>
          <t>Look at the left menu.</t>
        </is>
      </c>
      <c r="D67" s="27" t="inlineStr">
        <is>
          <t>Dashboard, Pending Reviews, Reviewed History, My Events, All Opportunities, My Hours, Help.</t>
        </is>
      </c>
      <c r="E67" s="28" t="n"/>
      <c r="F67" s="27" t="n"/>
      <c r="G67" s="28" t="n"/>
    </row>
    <row r="68" ht="42" customHeight="1">
      <c r="A68" s="26" t="inlineStr">
        <is>
          <t>SV4</t>
        </is>
      </c>
      <c r="B68" s="27" t="inlineStr">
        <is>
          <t>As a supervisor, I want a dashboard.</t>
        </is>
      </c>
      <c r="C68" s="27" t="inlineStr">
        <is>
          <t>Open the dashboard.</t>
        </is>
      </c>
      <c r="D68" s="27" t="inlineStr">
        <is>
          <t>Review queue, approved/rejected counts, registrations, hours, upcoming events + Roster links.</t>
        </is>
      </c>
      <c r="E68" s="28" t="n"/>
      <c r="F68" s="27" t="n"/>
      <c r="G68" s="28" t="n"/>
    </row>
    <row r="69" ht="42" customHeight="1">
      <c r="A69" s="26" t="inlineStr">
        <is>
          <t>SV5</t>
        </is>
      </c>
      <c r="B69" s="27" t="inlineStr">
        <is>
          <t>As a supervisor, I want to approve hours.</t>
        </is>
      </c>
      <c r="C69" s="27" t="inlineStr">
        <is>
          <t>Pending Reviews → open → Approve.</t>
        </is>
      </c>
      <c r="D69" s="27" t="inlineStr">
        <is>
          <t>Approved; moves to Reviewed History; participant total updates; email sent.</t>
        </is>
      </c>
      <c r="E69" s="28" t="n"/>
      <c r="F69" s="27" t="n"/>
      <c r="G69" s="28" t="n"/>
    </row>
    <row r="70" ht="42" customHeight="1">
      <c r="A70" s="26" t="inlineStr">
        <is>
          <t>SV6</t>
        </is>
      </c>
      <c r="B70" s="27" t="inlineStr">
        <is>
          <t>As a supervisor, I want to reject hours with a reason.</t>
        </is>
      </c>
      <c r="C70" s="27" t="inlineStr">
        <is>
          <t>Reject without a reason, then with one.</t>
        </is>
      </c>
      <c r="D70" s="27" t="inlineStr">
        <is>
          <t>Blocked until a reason is given; then rejected and the participant notified.</t>
        </is>
      </c>
      <c r="E70" s="28" t="n"/>
      <c r="F70" s="27" t="n"/>
      <c r="G70" s="28" t="n"/>
    </row>
    <row r="71" ht="42" customHeight="1">
      <c r="A71" s="26" t="inlineStr">
        <is>
          <t>SV7</t>
        </is>
      </c>
      <c r="B71" s="27" t="inlineStr">
        <is>
          <t>As a supervisor, I want to review external submissions.</t>
        </is>
      </c>
      <c r="C71" s="27" t="inlineStr">
        <is>
          <t>Pending Reviews → external tab → approve/reject.</t>
        </is>
      </c>
      <c r="D71" s="27" t="inlineStr">
        <is>
          <t>External items reviewable, including any proof.</t>
        </is>
      </c>
      <c r="E71" s="28" t="n"/>
      <c r="F71" s="27" t="n"/>
      <c r="G71" s="28" t="n"/>
    </row>
    <row r="72" ht="42" customHeight="1">
      <c r="A72" s="26" t="inlineStr">
        <is>
          <t>SV8</t>
        </is>
      </c>
      <c r="B72" s="27" t="inlineStr">
        <is>
          <t>As a supervisor, I want to create an event.</t>
        </is>
      </c>
      <c r="C72" s="27" t="inlineStr">
        <is>
          <t>New Event → title, description, slot, address, date, times, capacity, grade limits → save.</t>
        </is>
      </c>
      <c r="D72" s="27" t="inlineStr">
        <is>
          <t>Credit auto-calculated from times; event created in My Events.</t>
        </is>
      </c>
      <c r="E72" s="28" t="n"/>
      <c r="F72" s="27" t="n"/>
      <c r="G72" s="28" t="n"/>
    </row>
    <row r="73" ht="42" customHeight="1">
      <c r="A73" s="26" t="inlineStr">
        <is>
          <t>SV9</t>
        </is>
      </c>
      <c r="B73" s="27" t="inlineStr">
        <is>
          <t>As a supervisor, I want to edit an event.</t>
        </is>
      </c>
      <c r="C73" s="27" t="inlineStr">
        <is>
          <t>My Events → edit → save.</t>
        </is>
      </c>
      <c r="D73" s="27" t="inlineStr">
        <is>
          <t>Changes persist and show to participants.</t>
        </is>
      </c>
      <c r="E73" s="28" t="n"/>
      <c r="F73" s="27" t="n"/>
      <c r="G73" s="28" t="n"/>
    </row>
    <row r="74" ht="42" customHeight="1">
      <c r="A74" s="26" t="inlineStr">
        <is>
          <t>SV10</t>
        </is>
      </c>
      <c r="B74" s="27" t="inlineStr">
        <is>
          <t>As a supervisor, I want to delete an event with no approved hours.</t>
        </is>
      </c>
      <c r="C74" s="27" t="inlineStr">
        <is>
          <t>Delete such an event → confirm.</t>
        </is>
      </c>
      <c r="D74" s="27" t="inlineStr">
        <is>
          <t>Event deleted.</t>
        </is>
      </c>
      <c r="E74" s="28" t="n"/>
      <c r="F74" s="27" t="n"/>
      <c r="G74" s="28" t="n"/>
    </row>
    <row r="75" ht="42" customHeight="1">
      <c r="A75" s="26" t="inlineStr">
        <is>
          <t>SV11</t>
        </is>
      </c>
      <c r="B75" s="27" t="inlineStr">
        <is>
          <t>As a supervisor, deleting an event with approved hours is blocked.</t>
        </is>
      </c>
      <c r="C75" s="27" t="inlineStr">
        <is>
          <t>Try to delete an event that has approved hours.</t>
        </is>
      </c>
      <c r="D75" s="27" t="inlineStr">
        <is>
          <t>Blocked with a message that approved hours must be preserved.</t>
        </is>
      </c>
      <c r="E75" s="28" t="n"/>
      <c r="F75" s="27" t="n"/>
      <c r="G75" s="28" t="n"/>
    </row>
    <row r="76" ht="42" customHeight="1">
      <c r="A76" s="26" t="inlineStr">
        <is>
          <t>SV12</t>
        </is>
      </c>
      <c r="B76" s="27" t="inlineStr">
        <is>
          <t>As a supervisor, I want to see who signed up.</t>
        </is>
      </c>
      <c r="C76" s="27" t="inlineStr">
        <is>
          <t>Open the event Roster.</t>
        </is>
      </c>
      <c r="D76" s="27" t="inlineStr">
        <is>
          <t>Registrants listed with grade and status.</t>
        </is>
      </c>
      <c r="E76" s="28" t="n"/>
      <c r="F76" s="27" t="n"/>
      <c r="G76" s="28" t="n"/>
    </row>
    <row r="77" ht="42" customHeight="1">
      <c r="A77" s="26" t="inlineStr">
        <is>
          <t>SV13</t>
        </is>
      </c>
      <c r="B77" s="27" t="inlineStr">
        <is>
          <t>As a supervisor, I want to check people in / mark no-show.</t>
        </is>
      </c>
      <c r="C77" s="27" t="inlineStr">
        <is>
          <t>On the roster, Check in and Mark no-show.</t>
        </is>
      </c>
      <c r="D77" s="27" t="inlineStr">
        <is>
          <t>Status updates and persists.</t>
        </is>
      </c>
      <c r="E77" s="28" t="n"/>
      <c r="F77" s="27" t="n"/>
      <c r="G77" s="28" t="n"/>
    </row>
    <row r="78" ht="42" customHeight="1">
      <c r="A78" s="26" t="inlineStr">
        <is>
          <t>SV14</t>
        </is>
      </c>
      <c r="B78" s="27" t="inlineStr">
        <is>
          <t>As a supervisor, I want to message everyone signed up.</t>
        </is>
      </c>
      <c r="C78" s="27" t="inlineStr">
        <is>
          <t>Roster → Message attendees → subject+message → send (include guardians on).</t>
        </is>
      </c>
      <c r="D78" s="27" t="inlineStr">
        <is>
          <t>Each registrant (and guardians) emailed individually; recipient count shown.</t>
        </is>
      </c>
      <c r="E78" s="28" t="n"/>
      <c r="F78" s="27" t="n"/>
      <c r="G78" s="28" t="n"/>
    </row>
    <row r="79" ht="42" customHeight="1">
      <c r="A79" s="26" t="inlineStr">
        <is>
          <t>SV15</t>
        </is>
      </c>
      <c r="B79" s="27" t="inlineStr">
        <is>
          <t>As a supervisor, I want a history of what I reviewed.</t>
        </is>
      </c>
      <c r="C79" s="27" t="inlineStr">
        <is>
          <t>Open Reviewed History.</t>
        </is>
      </c>
      <c r="D79" s="27" t="inlineStr">
        <is>
          <t>Every approved/rejected item with dates and volunteers.</t>
        </is>
      </c>
      <c r="E79" s="28" t="n"/>
      <c r="F79" s="27" t="n"/>
      <c r="G79" s="28" t="n"/>
    </row>
    <row r="80" ht="42" customHeight="1">
      <c r="A80" s="26" t="inlineStr">
        <is>
          <t>SV16</t>
        </is>
      </c>
      <c r="B80" s="27" t="inlineStr">
        <is>
          <t>As a supervisor, I want to browse all opportunities view-only.</t>
        </is>
      </c>
      <c r="C80" s="27" t="inlineStr">
        <is>
          <t>All Opportunities → search / upcoming-past.</t>
        </is>
      </c>
      <c r="D80" s="27" t="inlineStr">
        <is>
          <t>Every event listed read-only; can't edit others' events.</t>
        </is>
      </c>
      <c r="E80" s="28" t="n"/>
      <c r="F80" s="27" t="n"/>
      <c r="G80" s="28" t="n"/>
    </row>
    <row r="81" ht="42" customHeight="1">
      <c r="A81" s="26" t="inlineStr">
        <is>
          <t>SV17</t>
        </is>
      </c>
      <c r="B81" s="27" t="inlineStr">
        <is>
          <t>As a supervisor, I want to log my own adult hours.</t>
        </is>
      </c>
      <c r="C81" s="27" t="inlineStr">
        <is>
          <t>My Hours → log an activity, date, hours → save.</t>
        </is>
      </c>
      <c r="D81" s="27" t="inlineStr">
        <is>
          <t>Recorded instantly with a running total; clearly NOT part of the student competition.</t>
        </is>
      </c>
      <c r="E81" s="28" t="n"/>
      <c r="F81" s="27" t="n"/>
      <c r="G81" s="28" t="n"/>
    </row>
    <row r="82" ht="42" customHeight="1">
      <c r="A82" s="26" t="inlineStr">
        <is>
          <t>SV18</t>
        </is>
      </c>
      <c r="B82" s="27" t="inlineStr">
        <is>
          <t>As a supervisor, I want to delete an adult-hours entry.</t>
        </is>
      </c>
      <c r="C82" s="27" t="inlineStr">
        <is>
          <t>My Hours → delete an entry → confirm.</t>
        </is>
      </c>
      <c r="D82" s="27" t="inlineStr">
        <is>
          <t>Removed; total updates.</t>
        </is>
      </c>
      <c r="E82" s="28" t="n"/>
      <c r="F82" s="27" t="n"/>
      <c r="G82" s="28" t="n"/>
    </row>
    <row r="83" ht="42" customHeight="1">
      <c r="A83" s="26" t="inlineStr">
        <is>
          <t>SV19</t>
        </is>
      </c>
      <c r="B83" s="27" t="inlineStr">
        <is>
          <t>As a supervisor, I must NOT access user or org management.</t>
        </is>
      </c>
      <c r="C83" s="27" t="inlineStr">
        <is>
          <t>Look for Users / Organizations in the menu.</t>
        </is>
      </c>
      <c r="D83" s="27" t="inlineStr">
        <is>
          <t>Those tabs are absent; direct URLs are blocked.</t>
        </is>
      </c>
      <c r="E83" s="28" t="n"/>
      <c r="F83" s="27" t="n"/>
      <c r="G83" s="28" t="n"/>
    </row>
    <row r="84" ht="42" customHeight="1">
      <c r="A84" s="26" t="inlineStr">
        <is>
          <t>SV20</t>
        </is>
      </c>
      <c r="B84" s="27" t="inlineStr">
        <is>
          <t>As a supervisor, I want to attach files to a message.</t>
        </is>
      </c>
      <c r="C84" s="27" t="inlineStr">
        <is>
          <t>Roster → Message attendees → add an image/PDF (≤10 MB) → send.</t>
        </is>
      </c>
      <c r="D84" s="27" t="inlineStr">
        <is>
          <t>The attachment uploads, appears in the dialog, and arrives with the email.</t>
        </is>
      </c>
      <c r="E84" s="28" t="n"/>
      <c r="F84" s="27" t="n"/>
      <c r="G84" s="28" t="n"/>
    </row>
    <row r="85" ht="42" customHeight="1">
      <c r="A85" s="26" t="inlineStr">
        <is>
          <t>SV21</t>
        </is>
      </c>
      <c r="B85" s="27" t="inlineStr">
        <is>
          <t>As a supervisor, I want an email when someone signs up.</t>
        </is>
      </c>
      <c r="C85" s="27" t="inlineStr">
        <is>
          <t>Have a participant sign up for your event (with notifications on).</t>
        </is>
      </c>
      <c r="D85" s="27" t="inlineStr">
        <is>
          <t>You receive a sign-up email; toggling notifications off stops them.</t>
        </is>
      </c>
      <c r="E85" s="28" t="n"/>
      <c r="F85" s="27" t="n"/>
      <c r="G85" s="28" t="n"/>
    </row>
    <row r="86" ht="42" customHeight="1">
      <c r="A86" s="26" t="inlineStr">
        <is>
          <t>SV22</t>
        </is>
      </c>
      <c r="B86" s="27" t="inlineStr">
        <is>
          <t>As a supervisor, I want to verify who's a real member before sharing access.</t>
        </is>
      </c>
      <c r="C86" s="27" t="inlineStr">
        <is>
          <t>Open the Roster and read the attendee badges.</t>
        </is>
      </c>
      <c r="D86" s="27" t="inlineStr">
        <is>
          <t>Each shows their org, or 'Community · unverified'; a warning reminds you to confirm before sharing a building QR.</t>
        </is>
      </c>
      <c r="E86" s="28" t="n"/>
      <c r="F86" s="27" t="n"/>
      <c r="G86" s="28" t="n"/>
    </row>
    <row r="87" ht="42" customHeight="1">
      <c r="A87" s="26" t="inlineStr">
        <is>
          <t>SV23</t>
        </is>
      </c>
      <c r="B87" s="27" t="inlineStr">
        <is>
          <t>As a supervisor, I want to add a specific student to my event by email.</t>
        </is>
      </c>
      <c r="C87" s="27" t="inlineStr">
        <is>
          <t>Roster → Add a participant → enter their account email → Add.</t>
        </is>
      </c>
      <c r="D87" s="27" t="inlineStr">
        <is>
          <t>They're registered and emailed ('added to &lt;event&gt;'); it appears in their schedule. Works even for a student from another org (you vouch), without opening the event.</t>
        </is>
      </c>
      <c r="E87" s="28" t="n"/>
      <c r="F87" s="27" t="n"/>
      <c r="G87" s="28" t="n"/>
    </row>
    <row r="88" ht="42" customHeight="1">
      <c r="A88" s="26" t="inlineStr">
        <is>
          <t>SV24</t>
        </is>
      </c>
      <c r="B88" s="27" t="inlineStr">
        <is>
          <t>As the program, a gated event stays closed to non-members who aren't added.</t>
        </is>
      </c>
      <c r="C88" s="27" t="inlineStr">
        <is>
          <t>As a student not in the org, look for the gated event.</t>
        </is>
      </c>
      <c r="D88" s="27" t="inlineStr">
        <is>
          <t>It never appears for self sign-up; only a supervisor can add them.</t>
        </is>
      </c>
      <c r="E88" s="28" t="n"/>
      <c r="F88" s="27" t="n"/>
      <c r="G88" s="28" t="n"/>
    </row>
    <row r="89" ht="20" customHeight="1">
      <c r="A89" s="24" t="inlineStr">
        <is>
          <t>Admin (org-scoped)</t>
        </is>
      </c>
      <c r="B89" s="25" t="n"/>
      <c r="C89" s="25" t="n"/>
      <c r="D89" s="25" t="n"/>
      <c r="E89" s="25" t="n"/>
      <c r="F89" s="25" t="n"/>
      <c r="G89" s="25" t="n"/>
    </row>
    <row r="90" ht="42" customHeight="1">
      <c r="A90" s="26" t="inlineStr">
        <is>
          <t>AD1</t>
        </is>
      </c>
      <c r="B90" s="27" t="inlineStr">
        <is>
          <t>As an Admin, I want the correct menu tabs.</t>
        </is>
      </c>
      <c r="C90" s="27" t="inlineStr">
        <is>
          <t>Look at the left menu.</t>
        </is>
      </c>
      <c r="D90" s="27" t="inlineStr">
        <is>
          <t>Dashboard, Pending Reviews, Reviewed History, My Events, All Opportunities, Users, Organizations, My Hours, Help.</t>
        </is>
      </c>
      <c r="E90" s="28" t="n"/>
      <c r="F90" s="27" t="n"/>
      <c r="G90" s="28" t="n"/>
    </row>
    <row r="91" ht="42" customHeight="1">
      <c r="A91" s="26" t="inlineStr">
        <is>
          <t>AD2</t>
        </is>
      </c>
      <c r="B91" s="27" t="inlineStr">
        <is>
          <t>As an Admin, I can do everything a supervisor can.</t>
        </is>
      </c>
      <c r="C91" s="27" t="inlineStr">
        <is>
          <t>Spot-check: approve an item and create an event.</t>
        </is>
      </c>
      <c r="D91" s="27" t="inlineStr">
        <is>
          <t>Both work.</t>
        </is>
      </c>
      <c r="E91" s="28" t="n"/>
      <c r="F91" s="27" t="n"/>
      <c r="G91" s="28" t="n"/>
    </row>
    <row r="92" ht="42" customHeight="1">
      <c r="A92" s="26" t="inlineStr">
        <is>
          <t>AD3</t>
        </is>
      </c>
      <c r="B92" s="27" t="inlineStr">
        <is>
          <t>As an Admin, I only see my org's non-admin users.</t>
        </is>
      </c>
      <c r="C92" s="27" t="inlineStr">
        <is>
          <t>Open Users.</t>
        </is>
      </c>
      <c r="D92" s="27" t="inlineStr">
        <is>
          <t>Only participants/parents/supervisors in your org; no admins/super admins; no other orgs.</t>
        </is>
      </c>
      <c r="E92" s="28" t="n"/>
      <c r="F92" s="27" t="n"/>
      <c r="G92" s="28" t="n"/>
    </row>
    <row r="93" ht="42" customHeight="1">
      <c r="A93" s="26" t="inlineStr">
        <is>
          <t>AD4</t>
        </is>
      </c>
      <c r="B93" s="27" t="inlineStr">
        <is>
          <t>As an Admin, I want to add a supervisor.</t>
        </is>
      </c>
      <c r="C93" s="27" t="inlineStr">
        <is>
          <t>Users → Add user → Supervisor → save.</t>
        </is>
      </c>
      <c r="D93" s="27" t="inlineStr">
        <is>
          <t>Supervisor created, stamped to your org; invite email sent.</t>
        </is>
      </c>
      <c r="E93" s="28" t="n"/>
      <c r="F93" s="27" t="n"/>
      <c r="G93" s="28" t="n"/>
    </row>
    <row r="94" ht="42" customHeight="1">
      <c r="A94" s="26" t="inlineStr">
        <is>
          <t>AD5</t>
        </is>
      </c>
      <c r="B94" s="27" t="inlineStr">
        <is>
          <t>As an Admin, I want to create a participant as a fallback.</t>
        </is>
      </c>
      <c r="C94" s="27" t="inlineStr">
        <is>
          <t>Users → Add user → Participant → save.</t>
        </is>
      </c>
      <c r="D94" s="27" t="inlineStr">
        <is>
          <t>Participant created with a set-password invite (no silent password).</t>
        </is>
      </c>
      <c r="E94" s="28" t="n"/>
      <c r="F94" s="27" t="n"/>
      <c r="G94" s="28" t="n"/>
    </row>
    <row r="95" ht="42" customHeight="1">
      <c r="A95" s="26" t="inlineStr">
        <is>
          <t>AD6</t>
        </is>
      </c>
      <c r="B95" s="27" t="inlineStr">
        <is>
          <t>As an Admin, I want to grant participant hours.</t>
        </is>
      </c>
      <c r="C95" s="27" t="inlineStr">
        <is>
          <t>Open a participant in your org → Add hours.</t>
        </is>
      </c>
      <c r="D95" s="27" t="inlineStr">
        <is>
          <t>Hours auto-approved; count toward their total/medals.</t>
        </is>
      </c>
      <c r="E95" s="28" t="n"/>
      <c r="F95" s="27" t="n"/>
      <c r="G95" s="28" t="n"/>
    </row>
    <row r="96" ht="42" customHeight="1">
      <c r="A96" s="26" t="inlineStr">
        <is>
          <t>AD7</t>
        </is>
      </c>
      <c r="B96" s="27" t="inlineStr">
        <is>
          <t>As an Admin, I want a participant's service record.</t>
        </is>
      </c>
      <c r="C96" s="27" t="inlineStr">
        <is>
          <t>Users → Service record for a participant in your org.</t>
        </is>
      </c>
      <c r="D96" s="27" t="inlineStr">
        <is>
          <t>Record opens.</t>
        </is>
      </c>
      <c r="E96" s="28" t="n"/>
      <c r="F96" s="27" t="n"/>
      <c r="G96" s="28" t="n"/>
    </row>
    <row r="97" ht="42" customHeight="1">
      <c r="A97" s="26" t="inlineStr">
        <is>
          <t>AD8</t>
        </is>
      </c>
      <c r="B97" s="27" t="inlineStr">
        <is>
          <t>As an Admin, I want to edit/delete my org's users.</t>
        </is>
      </c>
      <c r="C97" s="27" t="inlineStr">
        <is>
          <t>Edit a name/phone; delete a test user.</t>
        </is>
      </c>
      <c r="D97" s="27" t="inlineStr">
        <is>
          <t>Changes apply within your org.</t>
        </is>
      </c>
      <c r="E97" s="28" t="n"/>
      <c r="F97" s="27" t="n"/>
      <c r="G97" s="28" t="n"/>
    </row>
    <row r="98" ht="42" customHeight="1">
      <c r="A98" s="26" t="inlineStr">
        <is>
          <t>AD9</t>
        </is>
      </c>
      <c r="B98" s="27" t="inlineStr">
        <is>
          <t>As an Admin, I must NOT act on users outside my org.</t>
        </is>
      </c>
      <c r="C98" s="27" t="inlineStr">
        <is>
          <t>Attempt to reach another org's user (e.g. direct URL).</t>
        </is>
      </c>
      <c r="D98" s="27" t="inlineStr">
        <is>
          <t>Blocked / not visible.</t>
        </is>
      </c>
      <c r="E98" s="28" t="n"/>
      <c r="F98" s="27" t="n"/>
      <c r="G98" s="28" t="n"/>
    </row>
    <row r="99" ht="42" customHeight="1">
      <c r="A99" s="26" t="inlineStr">
        <is>
          <t>AD10</t>
        </is>
      </c>
      <c r="B99" s="27" t="inlineStr">
        <is>
          <t>As an Admin, I cannot grant Admin access or manage admins.</t>
        </is>
      </c>
      <c r="C99" s="27" t="inlineStr">
        <is>
          <t>Look for the 'grant Admin access' action.</t>
        </is>
      </c>
      <c r="D99" s="27" t="inlineStr">
        <is>
          <t>No such button; attempts are blocked server-side.</t>
        </is>
      </c>
      <c r="E99" s="28" t="n"/>
      <c r="F99" s="27" t="n"/>
      <c r="G99" s="28" t="n"/>
    </row>
    <row r="100" ht="42" customHeight="1">
      <c r="A100" s="26" t="inlineStr">
        <is>
          <t>AD11</t>
        </is>
      </c>
      <c r="B100" s="27" t="inlineStr">
        <is>
          <t>As an Admin, I see and edit only my own organization.</t>
        </is>
      </c>
      <c r="C100" s="27" t="inlineStr">
        <is>
          <t>Open Organizations.</t>
        </is>
      </c>
      <c r="D100" s="27" t="inlineStr">
        <is>
          <t>Only your org shows; you can edit its settings.</t>
        </is>
      </c>
      <c r="E100" s="28" t="n"/>
      <c r="F100" s="27" t="n"/>
      <c r="G100" s="28" t="n"/>
    </row>
    <row r="101" ht="42" customHeight="1">
      <c r="A101" s="26" t="inlineStr">
        <is>
          <t>AD12</t>
        </is>
      </c>
      <c r="B101" s="27" t="inlineStr">
        <is>
          <t>As an Admin, I want to generate/rotate my org's join code.</t>
        </is>
      </c>
      <c r="C101" s="27" t="inlineStr">
        <is>
          <t>Organizations → set/generate a join code → save.</t>
        </is>
      </c>
      <c r="D101" s="27" t="inlineStr">
        <is>
          <t>Join code saved; usable at sign-up.</t>
        </is>
      </c>
      <c r="E101" s="28" t="n"/>
      <c r="F101" s="27" t="n"/>
      <c r="G101" s="28" t="n"/>
    </row>
    <row r="102" ht="42" customHeight="1">
      <c r="A102" s="26" t="inlineStr">
        <is>
          <t>AD13</t>
        </is>
      </c>
      <c r="B102" s="27" t="inlineStr">
        <is>
          <t>As an Admin, I cannot create organizations.</t>
        </is>
      </c>
      <c r="C102" s="27" t="inlineStr">
        <is>
          <t>Look for 'Add organization'.</t>
        </is>
      </c>
      <c r="D102" s="27" t="inlineStr">
        <is>
          <t>No Add button; creation blocked.</t>
        </is>
      </c>
      <c r="E102" s="28" t="n"/>
      <c r="F102" s="27" t="n"/>
      <c r="G102" s="28" t="n"/>
    </row>
    <row r="103" ht="42" customHeight="1">
      <c r="A103" s="26" t="inlineStr">
        <is>
          <t>AD14</t>
        </is>
      </c>
      <c r="B103" s="27" t="inlineStr">
        <is>
          <t>As an Admin, I cannot change the recycling cans total.</t>
        </is>
      </c>
      <c r="C103" s="27" t="inlineStr">
        <is>
          <t>Look for the cans/bin admin control.</t>
        </is>
      </c>
      <c r="D103" s="27" t="inlineStr">
        <is>
          <t>Not available (Super Admin only).</t>
        </is>
      </c>
      <c r="E103" s="28" t="n"/>
      <c r="F103" s="27" t="n"/>
      <c r="G103" s="28" t="n"/>
    </row>
    <row r="104" ht="42" customHeight="1">
      <c r="A104" s="26" t="inlineStr">
        <is>
          <t>AD15</t>
        </is>
      </c>
      <c r="B104" s="27" t="inlineStr">
        <is>
          <t>As an Admin, I can turn my activity emails off.</t>
        </is>
      </c>
      <c r="C104" s="27" t="inlineStr">
        <is>
          <t>Dashboard → Email notifications toggle off; have a student sign up for your event.</t>
        </is>
      </c>
      <c r="D104" s="27" t="inlineStr">
        <is>
          <t>No sign-up email arrives while off; turning it back on resumes them.</t>
        </is>
      </c>
      <c r="E104" s="28" t="n"/>
      <c r="F104" s="27" t="n"/>
      <c r="G104" s="28" t="n"/>
    </row>
    <row r="105" ht="42" customHeight="1">
      <c r="A105" s="26" t="inlineStr">
        <is>
          <t>AD16</t>
        </is>
      </c>
      <c r="B105" s="27" t="inlineStr">
        <is>
          <t>As an Admin creating a user, I choose among only my org(s).</t>
        </is>
      </c>
      <c r="C105" s="27" t="inlineStr">
        <is>
          <t>Add user → Organization picker.</t>
        </is>
      </c>
      <c r="D105" s="27" t="inlineStr">
        <is>
          <t>Only the org(s) I manage are listed (Super Admins see all + 'none').</t>
        </is>
      </c>
      <c r="E105" s="28" t="n"/>
      <c r="F105" s="27" t="n"/>
      <c r="G105" s="28" t="n"/>
    </row>
    <row r="106" ht="20" customHeight="1">
      <c r="A106" s="24" t="inlineStr">
        <is>
          <t>Super Admin (global)</t>
        </is>
      </c>
      <c r="B106" s="25" t="n"/>
      <c r="C106" s="25" t="n"/>
      <c r="D106" s="25" t="n"/>
      <c r="E106" s="25" t="n"/>
      <c r="F106" s="25" t="n"/>
      <c r="G106" s="25" t="n"/>
    </row>
    <row r="107" ht="42" customHeight="1">
      <c r="A107" s="26" t="inlineStr">
        <is>
          <t>SA1</t>
        </is>
      </c>
      <c r="B107" s="27" t="inlineStr">
        <is>
          <t>As a Super Admin, I want the correct menu tabs.</t>
        </is>
      </c>
      <c r="C107" s="27" t="inlineStr">
        <is>
          <t>Look at the left menu.</t>
        </is>
      </c>
      <c r="D107" s="27" t="inlineStr">
        <is>
          <t>Dashboard, Reports, Users, Events, Organizations (Help in footer).</t>
        </is>
      </c>
      <c r="E107" s="28" t="n"/>
      <c r="F107" s="27" t="n"/>
      <c r="G107" s="28" t="n"/>
    </row>
    <row r="108" ht="42" customHeight="1">
      <c r="A108" s="26" t="inlineStr">
        <is>
          <t>SA2</t>
        </is>
      </c>
      <c r="B108" s="27" t="inlineStr">
        <is>
          <t>As a Super Admin, I can do everything an Admin can, across all orgs.</t>
        </is>
      </c>
      <c r="C108" s="27" t="inlineStr">
        <is>
          <t>Spot-check user + org actions on more than one org.</t>
        </is>
      </c>
      <c r="D108" s="27" t="inlineStr">
        <is>
          <t>All allowed regardless of org.</t>
        </is>
      </c>
      <c r="E108" s="28" t="n"/>
      <c r="F108" s="27" t="n"/>
      <c r="G108" s="28" t="n"/>
    </row>
    <row r="109" ht="42" customHeight="1">
      <c r="A109" s="26" t="inlineStr">
        <is>
          <t>SA3</t>
        </is>
      </c>
      <c r="B109" s="27" t="inlineStr">
        <is>
          <t>As a Super Admin, I want to create users incl. Supervisor and Super Admin.</t>
        </is>
      </c>
      <c r="C109" s="27" t="inlineStr">
        <is>
          <t>Users → Add user → each role.</t>
        </is>
      </c>
      <c r="D109" s="27" t="inlineStr">
        <is>
          <t>Participant/Supervisor/Super Admin options available; account created + invite email.</t>
        </is>
      </c>
      <c r="E109" s="28" t="n"/>
      <c r="F109" s="27" t="n"/>
      <c r="G109" s="28" t="n"/>
    </row>
    <row r="110" ht="42" customHeight="1">
      <c r="A110" s="26" t="inlineStr">
        <is>
          <t>SA4</t>
        </is>
      </c>
      <c r="B110" s="27" t="inlineStr">
        <is>
          <t>As a Super Admin, I want to grant/revoke Admin access.</t>
        </is>
      </c>
      <c r="C110" s="27" t="inlineStr">
        <is>
          <t>Open a user → grant Admin access → check org(s) → save; then uncheck all → save.</t>
        </is>
      </c>
      <c r="D110" s="27" t="inlineStr">
        <is>
          <t>Checking orgs makes an Admin; unchecking all reverts to participant.</t>
        </is>
      </c>
      <c r="E110" s="28" t="n"/>
      <c r="F110" s="27" t="n"/>
      <c r="G110" s="28" t="n"/>
    </row>
    <row r="111" ht="42" customHeight="1">
      <c r="A111" s="26" t="inlineStr">
        <is>
          <t>SA5</t>
        </is>
      </c>
      <c r="B111" s="27" t="inlineStr">
        <is>
          <t>As a Super Admin, I want to create organizations + join codes.</t>
        </is>
      </c>
      <c r="C111" s="27" t="inlineStr">
        <is>
          <t>Organizations → Add organization → set details + join code.</t>
        </is>
      </c>
      <c r="D111" s="27" t="inlineStr">
        <is>
          <t>Org created with its join code.</t>
        </is>
      </c>
      <c r="E111" s="28" t="n"/>
      <c r="F111" s="27" t="n"/>
      <c r="G111" s="28" t="n"/>
    </row>
    <row r="112" ht="42" customHeight="1">
      <c r="A112" s="26" t="inlineStr">
        <is>
          <t>SA6</t>
        </is>
      </c>
      <c r="B112" s="27" t="inlineStr">
        <is>
          <t>As a Super Admin, I want to find users by type.</t>
        </is>
      </c>
      <c r="C112" s="27" t="inlineStr">
        <is>
          <t>Users → role filter pills + search.</t>
        </is>
      </c>
      <c r="D112" s="27" t="inlineStr">
        <is>
          <t>Filter by role with counts; search by name/email across all orgs.</t>
        </is>
      </c>
      <c r="E112" s="28" t="n"/>
      <c r="F112" s="27" t="n"/>
      <c r="G112" s="28" t="n"/>
    </row>
    <row r="113" ht="42" customHeight="1">
      <c r="A113" s="26" t="inlineStr">
        <is>
          <t>SA7</t>
        </is>
      </c>
      <c r="B113" s="27" t="inlineStr">
        <is>
          <t>As a Super Admin, I want to search events.</t>
        </is>
      </c>
      <c r="C113" s="27" t="inlineStr">
        <is>
          <t>Events → search + date range; check supervisor/org per card.</t>
        </is>
      </c>
      <c r="D113" s="27" t="inlineStr">
        <is>
          <t>Filters work; each event shows supervisor and organization.</t>
        </is>
      </c>
      <c r="E113" s="28" t="n"/>
      <c r="F113" s="27" t="n"/>
      <c r="G113" s="28" t="n"/>
    </row>
    <row r="114" ht="42" customHeight="1">
      <c r="A114" s="26" t="inlineStr">
        <is>
          <t>SA8</t>
        </is>
      </c>
      <c r="B114" s="27" t="inlineStr">
        <is>
          <t>As a Super Admin, I want clear event-visibility labels.</t>
        </is>
      </c>
      <c r="C114" s="27" t="inlineStr">
        <is>
          <t>New Event → 'Who can see this'.</t>
        </is>
      </c>
      <c r="D114" s="27" t="inlineStr">
        <is>
          <t>'Open to all (community)' and 'Only &lt;org&gt; students' with helper text.</t>
        </is>
      </c>
      <c r="E114" s="28" t="n"/>
      <c r="F114" s="27" t="n"/>
      <c r="G114" s="28" t="n"/>
    </row>
    <row r="115" ht="42" customHeight="1">
      <c r="A115" s="26" t="inlineStr">
        <is>
          <t>SA9</t>
        </is>
      </c>
      <c r="B115" s="27" t="inlineStr">
        <is>
          <t>As a Super Admin, I want program-wide reports.</t>
        </is>
      </c>
      <c r="C115" s="27" t="inlineStr">
        <is>
          <t>Open Reports / Dashboard.</t>
        </is>
      </c>
      <c r="D115" s="27" t="inlineStr">
        <is>
          <t>Totals and charts across the whole program.</t>
        </is>
      </c>
      <c r="E115" s="28" t="n"/>
      <c r="F115" s="27" t="n"/>
      <c r="G115" s="28" t="n"/>
    </row>
    <row r="116" ht="42" customHeight="1">
      <c r="A116" s="26" t="inlineStr">
        <is>
          <t>SA10</t>
        </is>
      </c>
      <c r="B116" s="27" t="inlineStr">
        <is>
          <t>As a Super Admin, I want to verify email works.</t>
        </is>
      </c>
      <c r="C116" s="27" t="inlineStr">
        <is>
          <t>Dashboard → Send test email.</t>
        </is>
      </c>
      <c r="D116" s="27" t="inlineStr">
        <is>
          <t>Result shown (success or the exact failure reason).</t>
        </is>
      </c>
      <c r="E116" s="28" t="n"/>
      <c r="F116" s="27" t="n"/>
      <c r="G116" s="28" t="n"/>
    </row>
    <row r="117" ht="42" customHeight="1">
      <c r="A117" s="26" t="inlineStr">
        <is>
          <t>SA11</t>
        </is>
      </c>
      <c r="B117" s="27" t="inlineStr">
        <is>
          <t>As a Super Admin, I want to update the recycling cans total.</t>
        </is>
      </c>
      <c r="C117" s="27" t="inlineStr">
        <is>
          <t>Use the cans/bin admin control.</t>
        </is>
      </c>
      <c r="D117" s="27" t="inlineStr">
        <is>
          <t>Total updates; the ribbon reflects it.</t>
        </is>
      </c>
      <c r="E117" s="28" t="n"/>
      <c r="F117" s="27" t="n"/>
      <c r="G117" s="28" t="n"/>
    </row>
    <row r="118" ht="42" customHeight="1">
      <c r="A118" s="26" t="inlineStr">
        <is>
          <t>SA12</t>
        </is>
      </c>
      <c r="B118" s="27" t="inlineStr">
        <is>
          <t>As a Super Admin, I want hours + records for any user.</t>
        </is>
      </c>
      <c r="C118" s="27" t="inlineStr">
        <is>
          <t>Add manual hours / open service record for any participant.</t>
        </is>
      </c>
      <c r="D118" s="27" t="inlineStr">
        <is>
          <t>Works for any org.</t>
        </is>
      </c>
      <c r="E118" s="28" t="n"/>
      <c r="F118" s="27" t="n"/>
      <c r="G118" s="28" t="n"/>
    </row>
    <row r="119" ht="42" customHeight="1">
      <c r="A119" s="26" t="inlineStr">
        <is>
          <t>SA13</t>
        </is>
      </c>
      <c r="B119" s="27" t="inlineStr">
        <is>
          <t>As a Super Admin, I want to set award thresholds by grade band and/or org.</t>
        </is>
      </c>
      <c r="C119" s="27" t="inlineStr">
        <is>
          <t>Award Thresholds → add a rule (e.g. Elementary 20/30/40) → save.</t>
        </is>
      </c>
      <c r="D119" s="27" t="inlineStr">
        <is>
          <t>Rule saved; an affected participant's dashboard/reports show the new bars; leaderboard/record medals follow.</t>
        </is>
      </c>
      <c r="E119" s="28" t="n"/>
      <c r="F119" s="27" t="n"/>
      <c r="G119" s="28" t="n"/>
    </row>
    <row r="120" ht="42" customHeight="1">
      <c r="A120" s="26" t="inlineStr">
        <is>
          <t>SA14</t>
        </is>
      </c>
      <c r="B120" s="27" t="inlineStr">
        <is>
          <t>As a Super Admin, I want an audit log of key actions.</t>
        </is>
      </c>
      <c r="C120" s="27" t="inlineStr">
        <is>
          <t>Do an action (create user, grant hours, edit org) → open Audit Log.</t>
        </is>
      </c>
      <c r="D120" s="27" t="inlineStr">
        <is>
          <t>The action appears with who/when; search + action filters work.</t>
        </is>
      </c>
      <c r="E120" s="28" t="n"/>
      <c r="F120" s="27" t="n"/>
      <c r="G120" s="28" t="n"/>
    </row>
    <row r="121" ht="42" customHeight="1">
      <c r="A121" s="26" t="inlineStr">
        <is>
          <t>SA15</t>
        </is>
      </c>
      <c r="B121" s="27" t="inlineStr">
        <is>
          <t>As a Super Admin, deleting a supervisor who runs events is blocked.</t>
        </is>
      </c>
      <c r="C121" s="27" t="inlineStr">
        <is>
          <t>Try to delete a supervisor who supervises 1+ events.</t>
        </is>
      </c>
      <c r="D121" s="27" t="inlineStr">
        <is>
          <t>Blocked with a clear message to reassign or remove their events first (events/hours preserved).</t>
        </is>
      </c>
      <c r="E121" s="28" t="n"/>
      <c r="F121" s="27" t="n"/>
      <c r="G121" s="28" t="n"/>
    </row>
    <row r="122" ht="42" customHeight="1">
      <c r="A122" s="26" t="inlineStr">
        <is>
          <t>SA16</t>
        </is>
      </c>
      <c r="B122" s="27" t="inlineStr">
        <is>
          <t>As a Super Admin, I want to reassign a supervisor's events, then delete them.</t>
        </is>
      </c>
      <c r="C122" s="27" t="inlineStr">
        <is>
          <t>Users → Reassign events → pick another supervisor → confirm; then delete the original.</t>
        </is>
      </c>
      <c r="D122" s="27" t="inlineStr">
        <is>
          <t>Events move to the new supervisor; the original can then be deleted.</t>
        </is>
      </c>
      <c r="E122" s="28" t="n"/>
      <c r="F122" s="27" t="n"/>
      <c r="G122" s="28" t="n"/>
    </row>
    <row r="123" ht="42" customHeight="1">
      <c r="A123" s="26" t="inlineStr">
        <is>
          <t>SA17</t>
        </is>
      </c>
      <c r="B123" s="27" t="inlineStr">
        <is>
          <t>As a Super Admin, creating a user pre-fills a temp password and emails an invite.</t>
        </is>
      </c>
      <c r="C123" s="27" t="inlineStr">
        <is>
          <t>Add user; note the temp password field is pre-filled (Supervisor123!); save.</t>
        </is>
      </c>
      <c r="D123" s="27" t="inlineStr">
        <is>
          <t>Account created; the person gets a set-password invite email.</t>
        </is>
      </c>
      <c r="E123" s="28" t="n"/>
      <c r="F123" s="27" t="n"/>
      <c r="G123" s="28" t="n"/>
    </row>
    <row r="124" ht="42" customHeight="1">
      <c r="A124" s="26" t="inlineStr">
        <is>
          <t>SA18</t>
        </is>
      </c>
      <c r="B124" s="27" t="inlineStr">
        <is>
          <t>As a Super Admin, I want to assign an org when creating a user.</t>
        </is>
      </c>
      <c r="C124" s="27" t="inlineStr">
        <is>
          <t>Add user → choose an Organization (or 'No specific organization') → save.</t>
        </is>
      </c>
      <c r="D124" s="27" t="inlineStr">
        <is>
          <t>The user is stamped to that org (visible/manageable by that org's Admin).</t>
        </is>
      </c>
      <c r="E124" s="28" t="n"/>
      <c r="F124" s="27" t="n"/>
      <c r="G124" s="28" t="n"/>
    </row>
    <row r="125" ht="20" customHeight="1">
      <c r="A125" s="24" t="inlineStr">
        <is>
          <t>Cross-cutting</t>
        </is>
      </c>
      <c r="B125" s="25" t="n"/>
      <c r="C125" s="25" t="n"/>
      <c r="D125" s="25" t="n"/>
      <c r="E125" s="25" t="n"/>
      <c r="F125" s="25" t="n"/>
      <c r="G125" s="25" t="n"/>
    </row>
    <row r="126" ht="42" customHeight="1">
      <c r="A126" s="26" t="inlineStr">
        <is>
          <t>X1</t>
        </is>
      </c>
      <c r="B126" s="27" t="inlineStr">
        <is>
          <t>As a phone user, I want a usable mobile layout.</t>
        </is>
      </c>
      <c r="C126" s="27" t="inlineStr">
        <is>
          <t>Open at phone width; use the menu drawer.</t>
        </is>
      </c>
      <c r="D126" s="27" t="inlineStr">
        <is>
          <t>Layout adapts; drawer opens/closes; no horizontal scroll.</t>
        </is>
      </c>
      <c r="E126" s="28" t="n"/>
      <c r="F126" s="27" t="n"/>
      <c r="G126" s="28" t="n"/>
    </row>
    <row r="127" ht="42" customHeight="1">
      <c r="A127" s="26" t="inlineStr">
        <is>
          <t>X2</t>
        </is>
      </c>
      <c r="B127" s="27" t="inlineStr">
        <is>
          <t>As a visitor, I want the recycling ribbon on the login page.</t>
        </is>
      </c>
      <c r="C127" s="27" t="inlineStr">
        <is>
          <t>Open login signed out.</t>
        </is>
      </c>
      <c r="D127" s="27" t="inlineStr">
        <is>
          <t>Green ribbon shows on login.</t>
        </is>
      </c>
      <c r="E127" s="28" t="n"/>
      <c r="F127" s="27" t="n"/>
      <c r="G127" s="28" t="n"/>
    </row>
  </sheetData>
  <mergeCells count="9">
    <mergeCell ref="A89:G89"/>
    <mergeCell ref="A58:G58"/>
    <mergeCell ref="A1:G1"/>
    <mergeCell ref="A106:G106"/>
    <mergeCell ref="A3:G3"/>
    <mergeCell ref="A35:G35"/>
    <mergeCell ref="A125:G125"/>
    <mergeCell ref="A64:G64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7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9:E63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65:E88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90:E105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107:E124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26:E127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7 E59:E63 E65:E88 E90:E105 E107:E124 E126:E127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2026-09-20T20:17:58Z</dcterms:created>
  <dcterms:modified xsi:type="dcterms:W3CDTF">2026-09-20T20:17:59Z</dcterms:modified>
</cp:coreProperties>
</file>