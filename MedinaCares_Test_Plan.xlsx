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 &amp; Testers" sheetId="1" state="visible" r:id="rId1"/>
    <sheet name="PARTICIPANT" sheetId="2" state="visible" r:id="rId2"/>
    <sheet name="PARENT-ELEM" sheetId="3" state="visible" r:id="rId3"/>
    <sheet name="PARENT-VIEW ONLY" sheetId="4" state="visible" r:id="rId4"/>
    <sheet name="SUPERVISOR" sheetId="5" state="visible" r:id="rId5"/>
    <sheet name="ADMIN" sheetId="6" state="visible" r:id="rId6"/>
    <sheet name="SUPER ADMIN" sheetId="7" state="visible" r:id="rId7"/>
    <sheet name="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Arial"/>
      <b val="1"/>
      <color rgb="FFFFFFFF"/>
      <sz val="16"/>
    </font>
    <font>
      <name val="Calibri"/>
      <color theme="1"/>
      <scheme val="minor"/>
    </font>
    <font>
      <name val="Arial"/>
      <b val="1"/>
      <color rgb="FFFFFFFF"/>
      <sz val="11"/>
    </font>
    <font>
      <name val="Arial"/>
      <b val="1"/>
      <color rgb="FF1F3A5F"/>
      <sz val="12"/>
    </font>
    <font>
      <name val="Arial"/>
      <b val="1"/>
      <color rgb="FF000000"/>
      <sz val="11"/>
    </font>
    <font>
      <name val="Arial"/>
      <color rgb="FF333333"/>
      <sz val="10"/>
    </font>
    <font>
      <name val="Arial"/>
      <b val="1"/>
      <color rgb="FF1F3A5F"/>
      <sz val="10"/>
    </font>
    <font>
      <name val="Arial"/>
      <color theme="1"/>
      <sz val="10"/>
    </font>
    <font>
      <name val="Arial"/>
      <b val="1"/>
      <color rgb="FFC0392B"/>
      <sz val="11"/>
      <u val="single"/>
    </font>
    <font>
      <name val="Arial"/>
      <i val="1"/>
      <color rgb="FF555555"/>
      <sz val="10"/>
    </font>
    <font>
      <name val="Arial"/>
      <b val="1"/>
      <color rgb="FFFFFFFF"/>
      <sz val="15"/>
    </font>
    <font>
      <name val="Calibri"/>
      <color theme="1"/>
      <sz val="11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1F3A5F"/>
      <sz val="10"/>
    </font>
    <font>
      <name val="Arial"/>
      <sz val="10"/>
    </font>
    <font>
      <name val="Arial"/>
      <b val="1"/>
      <color rgb="00FFFFFF"/>
      <sz val="15"/>
    </font>
    <font>
      <name val="Arial"/>
      <i val="1"/>
      <color rgb="00555555"/>
      <sz val="10"/>
    </font>
    <font>
      <name val="Arial"/>
      <b val="1"/>
      <sz val="10"/>
    </font>
  </fonts>
  <fills count="13">
    <fill>
      <patternFill/>
    </fill>
    <fill>
      <patternFill patternType="lightGray"/>
    </fill>
    <fill>
      <patternFill patternType="solid">
        <fgColor rgb="FF20124D"/>
        <bgColor rgb="FF20124D"/>
      </patternFill>
    </fill>
    <fill>
      <patternFill patternType="solid">
        <fgColor rgb="FF1F3A5F"/>
        <bgColor rgb="FF1F3A5F"/>
      </patternFill>
    </fill>
    <fill>
      <patternFill patternType="solid">
        <fgColor rgb="FF2E6DA4"/>
        <bgColor rgb="FF2E6DA4"/>
      </patternFill>
    </fill>
    <fill>
      <patternFill patternType="solid">
        <fgColor rgb="FFCFE2F3"/>
        <bgColor rgb="FFCFE2F3"/>
      </patternFill>
    </fill>
    <fill>
      <patternFill patternType="solid">
        <fgColor theme="4"/>
        <bgColor theme="4"/>
      </patternFill>
    </fill>
    <fill>
      <patternFill patternType="solid">
        <fgColor rgb="FF00B0F0"/>
        <bgColor rgb="FF00B0F0"/>
      </patternFill>
    </fill>
    <fill>
      <patternFill patternType="solid">
        <fgColor rgb="FF3C6E9E"/>
        <bgColor rgb="FF3C6E9E"/>
      </patternFill>
    </fill>
    <fill>
      <patternFill patternType="solid">
        <fgColor rgb="001F3A5F"/>
      </patternFill>
    </fill>
    <fill>
      <patternFill patternType="solid">
        <fgColor rgb="003C6E9E"/>
      </patternFill>
    </fill>
    <fill>
      <patternFill patternType="solid">
        <fgColor rgb="002E6DA4"/>
      </patternFill>
    </fill>
    <fill>
      <patternFill patternType="solid">
        <fgColor rgb="00F2F2F2"/>
      </patternFill>
    </fill>
  </fills>
  <borders count="16">
    <border/>
    <border>
      <left/>
      <top/>
      <bottom/>
    </border>
    <border>
      <top/>
      <bottom/>
    </border>
    <border>
      <right/>
      <top/>
      <bottom/>
    </border>
    <border>
      <right style="thin">
        <color rgb="FFFF0000"/>
      </right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FF0000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FF0000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FF0000"/>
      </right>
      <top/>
      <bottom/>
    </border>
    <border>
      <left style="thin">
        <color rgb="FFBFBFBF"/>
      </left>
      <right style="thin">
        <color rgb="FFFF0000"/>
      </right>
      <bottom style="thin">
        <color rgb="FFBFBFBF"/>
      </bottom>
    </border>
    <border>
      <left/>
      <right/>
      <top/>
      <bottom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5" fillId="4" borderId="0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5" fillId="4" borderId="5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5" fillId="4" borderId="6" applyAlignment="1" pivotButton="0" quotePrefix="0" xfId="0">
      <alignment horizontal="left" vertical="center" wrapText="1"/>
    </xf>
    <xf numFmtId="0" fontId="5" fillId="4" borderId="7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4" fillId="6" borderId="0" pivotButton="0" quotePrefix="0" xfId="0"/>
    <xf numFmtId="0" fontId="9" fillId="0" borderId="5" applyAlignment="1" pivotButton="0" quotePrefix="0" xfId="0">
      <alignment horizontal="left" vertical="top"/>
    </xf>
    <xf numFmtId="0" fontId="6" fillId="0" borderId="0" pivotButton="0" quotePrefix="0" xfId="0"/>
    <xf numFmtId="0" fontId="10" fillId="0" borderId="5" applyAlignment="1" pivotButton="0" quotePrefix="0" xfId="0">
      <alignment horizontal="left" vertical="top" wrapText="1"/>
    </xf>
    <xf numFmtId="0" fontId="10" fillId="0" borderId="6" applyAlignment="1" pivotButton="0" quotePrefix="0" xfId="0">
      <alignment horizontal="left" vertical="top" wrapText="1"/>
    </xf>
    <xf numFmtId="0" fontId="10" fillId="0" borderId="7" applyAlignment="1" pivotButton="0" quotePrefix="0" xfId="0">
      <alignment horizontal="left" vertical="top"/>
    </xf>
    <xf numFmtId="0" fontId="11" fillId="0" borderId="0" applyAlignment="1" pivotButton="0" quotePrefix="0" xfId="0">
      <alignment horizontal="left" vertical="center"/>
    </xf>
    <xf numFmtId="0" fontId="9" fillId="0" borderId="8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center"/>
    </xf>
    <xf numFmtId="0" fontId="10" fillId="0" borderId="8" applyAlignment="1" pivotButton="0" quotePrefix="0" xfId="0">
      <alignment horizontal="left" vertical="top" wrapText="1"/>
    </xf>
    <xf numFmtId="0" fontId="10" fillId="0" borderId="9" applyAlignment="1" pivotButton="0" quotePrefix="0" xfId="0">
      <alignment horizontal="left" vertical="top" wrapText="1"/>
    </xf>
    <xf numFmtId="0" fontId="5" fillId="7" borderId="5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10" fillId="0" borderId="10" applyAlignment="1" pivotButton="0" quotePrefix="0" xfId="0">
      <alignment horizontal="left" vertical="top"/>
    </xf>
    <xf numFmtId="0" fontId="5" fillId="7" borderId="5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top"/>
    </xf>
    <xf numFmtId="0" fontId="5" fillId="8" borderId="2" applyAlignment="1" pivotButton="0" quotePrefix="0" xfId="0">
      <alignment horizontal="left" vertical="center"/>
    </xf>
    <xf numFmtId="0" fontId="10" fillId="0" borderId="5" applyAlignment="1" pivotButton="0" quotePrefix="0" xfId="0">
      <alignment horizontal="left" vertical="center"/>
    </xf>
    <xf numFmtId="0" fontId="10" fillId="0" borderId="5" applyAlignment="1" pivotButton="0" quotePrefix="0" xfId="0">
      <alignment horizontal="left" vertical="top"/>
    </xf>
    <xf numFmtId="0" fontId="9" fillId="0" borderId="11" applyAlignment="1" pivotButton="0" quotePrefix="0" xfId="0">
      <alignment horizontal="left" vertical="top"/>
    </xf>
    <xf numFmtId="0" fontId="10" fillId="0" borderId="11" applyAlignment="1" pivotButton="0" quotePrefix="0" xfId="0">
      <alignment horizontal="left" vertical="top" wrapText="1"/>
    </xf>
    <xf numFmtId="0" fontId="10" fillId="0" borderId="5" applyAlignment="1" pivotButton="0" quotePrefix="0" xfId="0">
      <alignment horizontal="left" vertical="center"/>
    </xf>
    <xf numFmtId="0" fontId="10" fillId="0" borderId="11" applyAlignment="1" pivotButton="0" quotePrefix="0" xfId="0">
      <alignment horizontal="left" vertical="top"/>
    </xf>
    <xf numFmtId="0" fontId="10" fillId="0" borderId="5" applyAlignment="1" pivotButton="0" quotePrefix="0" xfId="0">
      <alignment horizontal="left" vertical="top"/>
    </xf>
    <xf numFmtId="0" fontId="4" fillId="0" borderId="4" pivotButton="0" quotePrefix="0" xfId="0"/>
    <xf numFmtId="0" fontId="4" fillId="2" borderId="4" pivotButton="0" quotePrefix="0" xfId="0"/>
    <xf numFmtId="0" fontId="4" fillId="6" borderId="4" pivotButton="0" quotePrefix="0" xfId="0"/>
    <xf numFmtId="0" fontId="5" fillId="8" borderId="12" applyAlignment="1" pivotButton="0" quotePrefix="0" xfId="0">
      <alignment horizontal="left" vertical="center"/>
    </xf>
    <xf numFmtId="0" fontId="10" fillId="0" borderId="11" applyAlignment="1" pivotButton="0" quotePrefix="0" xfId="0">
      <alignment horizontal="left" vertical="top"/>
    </xf>
    <xf numFmtId="0" fontId="10" fillId="0" borderId="13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center"/>
    </xf>
    <xf numFmtId="0" fontId="12" fillId="0" borderId="0" pivotButton="0" quotePrefix="0" xfId="0"/>
    <xf numFmtId="0" fontId="5" fillId="4" borderId="5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left"/>
    </xf>
    <xf numFmtId="0" fontId="10" fillId="0" borderId="5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9" fontId="14" fillId="0" borderId="5" applyAlignment="1" pivotButton="0" quotePrefix="0" xfId="0">
      <alignment horizontal="center"/>
    </xf>
    <xf numFmtId="0" fontId="10" fillId="0" borderId="5" applyAlignment="1" pivotButton="0" quotePrefix="0" xfId="0">
      <alignment horizontal="left" wrapText="1"/>
    </xf>
    <xf numFmtId="0" fontId="0" fillId="0" borderId="0" pivotButton="0" quotePrefix="0" xfId="0"/>
    <xf numFmtId="0" fontId="3" fillId="3" borderId="14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center" indent="1"/>
    </xf>
    <xf numFmtId="0" fontId="0" fillId="9" borderId="0" pivotButton="0" quotePrefix="0" xfId="0"/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11" borderId="15" applyAlignment="1" pivotButton="0" quotePrefix="0" xfId="0">
      <alignment horizontal="left" vertical="center" wrapText="1" indent="1"/>
    </xf>
    <xf numFmtId="0" fontId="17" fillId="10" borderId="0" applyAlignment="1" pivotButton="0" quotePrefix="0" xfId="0">
      <alignment horizontal="left" vertical="center" indent="1"/>
    </xf>
    <xf numFmtId="0" fontId="18" fillId="0" borderId="15" applyAlignment="1" pivotButton="0" quotePrefix="0" xfId="0">
      <alignment horizontal="left" vertical="top" indent="1"/>
    </xf>
    <xf numFmtId="0" fontId="19" fillId="0" borderId="15" applyAlignment="1" pivotButton="0" quotePrefix="0" xfId="0">
      <alignment horizontal="left" vertical="top" wrapText="1" indent="1"/>
    </xf>
    <xf numFmtId="0" fontId="0" fillId="0" borderId="15" pivotButton="0" quotePrefix="0" xfId="0"/>
    <xf numFmtId="0" fontId="20" fillId="9" borderId="0" applyAlignment="1" pivotButton="0" quotePrefix="0" xfId="0">
      <alignment horizontal="left" vertical="center" indent="1"/>
    </xf>
    <xf numFmtId="0" fontId="21" fillId="0" borderId="0" pivotButton="0" quotePrefix="0" xfId="0"/>
    <xf numFmtId="0" fontId="17" fillId="11" borderId="15" applyAlignment="1" pivotButton="0" quotePrefix="0" xfId="0">
      <alignment horizontal="center" vertical="center"/>
    </xf>
    <xf numFmtId="0" fontId="19" fillId="0" borderId="15" applyAlignment="1" pivotButton="0" quotePrefix="0" xfId="0">
      <alignment horizontal="left" indent="1"/>
    </xf>
    <xf numFmtId="0" fontId="19" fillId="0" borderId="15" applyAlignment="1" pivotButton="0" quotePrefix="0" xfId="0">
      <alignment horizontal="center"/>
    </xf>
    <xf numFmtId="9" fontId="19" fillId="0" borderId="15" applyAlignment="1" pivotButton="0" quotePrefix="0" xfId="0">
      <alignment horizontal="center"/>
    </xf>
    <xf numFmtId="0" fontId="22" fillId="12" borderId="15" applyAlignment="1" pivotButton="0" quotePrefix="0" xfId="0">
      <alignment horizontal="left" indent="1"/>
    </xf>
    <xf numFmtId="0" fontId="22" fillId="12" borderId="15" applyAlignment="1" pivotButton="0" quotePrefix="0" xfId="0">
      <alignment horizontal="center"/>
    </xf>
    <xf numFmtId="9" fontId="22" fillId="12" borderId="15" applyAlignment="1" pivotButton="0" quotePrefix="0" xfId="0">
      <alignment horizontal="center"/>
    </xf>
  </cellXfs>
  <cellStyles count="1">
    <cellStyle name="Normal" xfId="0" builtinId="0"/>
  </cellStyles>
  <dxfs count="6">
    <dxf>
      <font>
        <name val="Arial"/>
        <color rgb="FF006100"/>
        <sz val="10"/>
      </font>
      <fill>
        <patternFill patternType="solid">
          <fgColor rgb="FFC6EFCE"/>
          <bgColor rgb="FFC6EFCE"/>
        </patternFill>
      </fill>
      <border/>
    </dxf>
    <dxf>
      <font>
        <name val="Arial"/>
        <color rgb="FF9C0006"/>
        <sz val="10"/>
      </font>
      <fill>
        <patternFill patternType="solid">
          <fgColor rgb="FFFFC7CE"/>
          <bgColor rgb="FFFFC7CE"/>
        </patternFill>
      </fill>
      <border/>
    </dxf>
    <dxf>
      <font>
        <name val="Arial"/>
        <color rgb="FF7F6000"/>
        <sz val="10"/>
      </font>
      <fill>
        <patternFill patternType="solid">
          <fgColor rgb="FFFFF2CC"/>
          <bgColor rgb="FFFFF2CC"/>
        </patternFill>
      </fill>
      <border/>
    </dxf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7F6000"/>
        <sz val="10"/>
      </font>
      <fill>
        <patternFill patternType="solid">
          <fgColor rgb="00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vsa.medinaacademy.org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selection activeCell="A1" sqref="A1"/>
    </sheetView>
  </sheetViews>
  <sheetFormatPr baseColWidth="8" defaultColWidth="14.43" defaultRowHeight="15" customHeight="1"/>
  <cols>
    <col width="32.71" customWidth="1" style="54" min="1" max="1"/>
    <col width="31.43" customWidth="1" style="54" min="2" max="2"/>
    <col width="16" customWidth="1" style="54" min="3" max="3"/>
    <col width="46.71" customWidth="1" style="54" min="4" max="4"/>
    <col width="18.57" customWidth="1" style="54" min="5" max="5"/>
    <col width="23.71" customWidth="1" style="54" min="6" max="6"/>
    <col width="21.57" customWidth="1" style="54" min="7" max="7"/>
    <col width="12.29" customWidth="1" style="54" min="8" max="8"/>
    <col width="8.710000000000001" customWidth="1" style="54" min="9" max="26"/>
  </cols>
  <sheetData>
    <row r="1" ht="33.75" customHeight="1" s="54">
      <c r="A1" s="55" t="inlineStr">
        <is>
          <t>MedinaCares Volunteer Service Awards — Tester Guide &amp; Assignment</t>
        </is>
      </c>
    </row>
    <row r="2" ht="14.25" customHeight="1" s="54"/>
    <row r="3" ht="14.25" customHeight="1" s="54">
      <c r="A3" s="8" t="inlineStr">
        <is>
          <t>How to test</t>
        </is>
      </c>
    </row>
    <row r="4" ht="14.25" customHeight="1" s="54">
      <c r="A4" s="12" t="inlineStr">
        <is>
          <t>Thank you for testing MedinaCares! Please follow these steps:</t>
        </is>
      </c>
    </row>
    <row r="5" ht="14.25" customHeight="1" s="54">
      <c r="A5" s="12" t="inlineStr">
        <is>
          <t>1. Find your name in the Testers table below and note your assigned platform tab(s).</t>
        </is>
      </c>
    </row>
    <row r="6" ht="14.25" customHeight="1" s="54">
      <c r="A6" s="12" t="inlineStr">
        <is>
          <t>2. Open your tab (iOS, Android, Desktop Chrome, Desktop Firefox, or Desktop Other).</t>
        </is>
      </c>
    </row>
    <row r="7" ht="14.25" customHeight="1" s="54">
      <c r="A7" s="12" t="inlineStr">
        <is>
          <t>3. Cases are grouped by persona. Find your persona, start reading use case- work top to bottom.</t>
        </is>
      </c>
    </row>
    <row r="8" ht="14.25" customHeight="1" s="54">
      <c r="A8" s="12" t="inlineStr">
        <is>
          <t>4. For each row read the User story, do the Steps, and compare to 'Expected behavior (what you should see)'.</t>
        </is>
      </c>
    </row>
    <row r="9" ht="14.25" customHeight="1" s="54">
      <c r="A9" s="12" t="inlineStr">
        <is>
          <t>5. In 'Result' pick Pass / Fail / Blocked / Not tested / N/A.</t>
        </is>
      </c>
    </row>
    <row r="10" ht="14.25" customHeight="1" s="54">
      <c r="A10" s="12" t="inlineStr">
        <is>
          <t xml:space="preserve">   Pass = worked as described.  Fail = did not.  Blocked = couldn't test (needed data/access).  N/A = not applicable.</t>
        </is>
      </c>
    </row>
    <row r="11" ht="14.25" customHeight="1" s="54">
      <c r="A11" s="12" t="inlineStr">
        <is>
          <t>6. Put details in 'Comments' — for any Fail, what happened + how to reproduce.</t>
        </is>
      </c>
    </row>
    <row r="12" ht="14.25" customHeight="1" s="54">
      <c r="A12" s="12" t="inlineStr">
        <is>
          <t>7. For a Fail, screenshot it into the shared folder named &lt;Test ID&gt;-&lt;your name&gt;.png (e.g. SV14-aisha.png) and note it in Comments.</t>
        </is>
      </c>
    </row>
    <row r="13" ht="14.25" customHeight="1" s="54">
      <c r="A13" s="12" t="inlineStr">
        <is>
          <t>8. Put your name in 'Tester' for rows you complete, and update your Status below.</t>
        </is>
      </c>
    </row>
    <row r="14" ht="14.25" customHeight="1" s="54">
      <c r="A14" s="12" t="n"/>
    </row>
    <row r="15" ht="14.25" customHeight="1" s="54">
      <c r="A15" s="12" t="inlineStr">
        <is>
          <t>Note: expected results are described in words rather than embedded screenshots (to keep the file light). Only attach screenshots for failures.</t>
        </is>
      </c>
    </row>
    <row r="16" ht="14.25" customHeight="1" s="54">
      <c r="A16" s="12" t="inlineStr">
        <is>
          <t>Questions: email mcc@medinaacademy.org.</t>
        </is>
      </c>
    </row>
    <row r="17" ht="14.25" customHeight="1" s="54"/>
    <row r="18" ht="14.25" customHeight="1" s="54">
      <c r="A18" s="18" t="inlineStr">
        <is>
          <t>Staging URL &amp; test logins</t>
        </is>
      </c>
    </row>
    <row r="19" ht="14.25" customHeight="1" s="54">
      <c r="A19" s="22" t="inlineStr">
        <is>
          <t>Staging URL:  https://vsa.medinaacademy.org/</t>
        </is>
      </c>
    </row>
    <row r="20" ht="14.25" customHeight="1" s="54">
      <c r="A20" s="24" t="inlineStr">
        <is>
          <t>Use the login for the persona your row(s) cover. Fill in the credentials before sending.</t>
        </is>
      </c>
    </row>
    <row r="21" ht="51" customHeight="1" s="54">
      <c r="A21" s="27" t="inlineStr">
        <is>
          <t xml:space="preserve">Write your name </t>
        </is>
      </c>
      <c r="B21" s="27" t="inlineStr">
        <is>
          <t>Select a Persona</t>
        </is>
      </c>
      <c r="C21" s="30" t="inlineStr">
        <is>
          <t>What device will 
you test with</t>
        </is>
      </c>
      <c r="D21" s="27" t="inlineStr">
        <is>
          <t>Status</t>
        </is>
      </c>
    </row>
    <row r="22" ht="30" customHeight="1" s="54">
      <c r="A22" s="37" t="inlineStr">
        <is>
          <t>Saman Atherr</t>
        </is>
      </c>
      <c r="B22" s="37" t="inlineStr">
        <is>
          <t>Supervisor</t>
        </is>
      </c>
      <c r="C22" s="37" t="n"/>
      <c r="D22" s="37" t="inlineStr">
        <is>
          <t>Not started</t>
        </is>
      </c>
    </row>
    <row r="23" ht="21.75" customHeight="1" s="54">
      <c r="A23" s="37" t="inlineStr">
        <is>
          <t>Muna Ali</t>
        </is>
      </c>
      <c r="B23" s="37" t="inlineStr">
        <is>
          <t>Supervisor</t>
        </is>
      </c>
      <c r="C23" s="37" t="n"/>
      <c r="D23" s="37" t="inlineStr">
        <is>
          <t>Not started</t>
        </is>
      </c>
    </row>
    <row r="24" ht="21.75" customHeight="1" s="54">
      <c r="A24" s="37" t="inlineStr">
        <is>
          <t>Labiba Bukhari</t>
        </is>
      </c>
      <c r="B24" s="37" t="inlineStr">
        <is>
          <t>Supervisor</t>
        </is>
      </c>
      <c r="C24" s="37" t="n"/>
      <c r="D24" s="37" t="inlineStr">
        <is>
          <t>Not started</t>
        </is>
      </c>
    </row>
    <row r="25" ht="21.75" customHeight="1" s="54">
      <c r="A25" s="37" t="inlineStr">
        <is>
          <t>Noreen Sultana</t>
        </is>
      </c>
      <c r="B25" s="37" t="inlineStr">
        <is>
          <t>Parent — elementary (2–5 child)</t>
        </is>
      </c>
      <c r="C25" s="37" t="n"/>
      <c r="D25" s="37" t="inlineStr">
        <is>
          <t>Not started</t>
        </is>
      </c>
    </row>
    <row r="26" ht="30" customHeight="1" s="54">
      <c r="A26" s="37" t="inlineStr">
        <is>
          <t>Abdul Malik</t>
        </is>
      </c>
      <c r="B26" s="37" t="inlineStr">
        <is>
          <t>Participant (grades 6–12)</t>
        </is>
      </c>
      <c r="C26" s="37" t="n"/>
      <c r="D26" s="37" t="inlineStr">
        <is>
          <t>Not started</t>
        </is>
      </c>
    </row>
    <row r="27" ht="21.75" customHeight="1" s="54">
      <c r="A27" s="37" t="inlineStr">
        <is>
          <t>Sameen Khan</t>
        </is>
      </c>
      <c r="B27" s="37" t="inlineStr">
        <is>
          <t>Participant (grades 6–12)</t>
        </is>
      </c>
      <c r="C27" s="37" t="n"/>
      <c r="D27" s="37" t="inlineStr">
        <is>
          <t>Not started</t>
        </is>
      </c>
    </row>
    <row r="28" ht="21.75" customHeight="1" s="54">
      <c r="A28" s="37" t="n"/>
      <c r="B28" s="37" t="inlineStr">
        <is>
          <t>Parent — elementary (2–5 child)</t>
        </is>
      </c>
      <c r="C28" s="37" t="n"/>
      <c r="D28" s="37" t="n"/>
    </row>
    <row r="29" ht="30" customHeight="1" s="54">
      <c r="A29" s="37" t="n"/>
      <c r="B29" s="37" t="inlineStr">
        <is>
          <t>Parent — elementary (2–5 child)</t>
        </is>
      </c>
      <c r="C29" s="37" t="n"/>
      <c r="D29" s="37" t="n"/>
    </row>
    <row r="30" ht="21.75" customHeight="1" s="54">
      <c r="A30" s="37" t="n"/>
      <c r="B30" s="37" t="inlineStr">
        <is>
          <t>Parent — viewer (6–12 student)</t>
        </is>
      </c>
      <c r="C30" s="37" t="n"/>
      <c r="D30" s="37" t="n"/>
    </row>
    <row r="31" ht="14.25" customHeight="1" s="54"/>
    <row r="32" ht="14.25" customHeight="1" s="54"/>
    <row r="33" ht="14.25" customHeight="1" s="54"/>
    <row r="34" ht="14.25" customHeight="1" s="54"/>
    <row r="35" ht="14.25" customHeight="1" s="54"/>
    <row r="36" ht="14.25" customHeight="1" s="54"/>
    <row r="37" ht="14.25" customHeight="1" s="54"/>
    <row r="38" ht="14.25" customHeight="1" s="54"/>
    <row r="39" ht="14.25" customHeight="1" s="54"/>
    <row r="40" ht="14.25" customHeight="1" s="54"/>
    <row r="41" ht="14.25" customHeight="1" s="54"/>
    <row r="42" ht="14.25" customHeight="1" s="54"/>
    <row r="43" ht="14.25" customHeight="1" s="54"/>
    <row r="44" ht="14.25" customHeight="1" s="54"/>
    <row r="45" ht="14.25" customHeight="1" s="54"/>
    <row r="46" ht="14.25" customHeight="1" s="54"/>
    <row r="47" ht="14.25" customHeight="1" s="54"/>
    <row r="48" ht="14.25" customHeight="1" s="54"/>
    <row r="49" ht="14.25" customHeight="1" s="54"/>
    <row r="50" ht="14.25" customHeight="1" s="54"/>
    <row r="51" ht="14.25" customHeight="1" s="54"/>
    <row r="52" ht="14.25" customHeight="1" s="54"/>
    <row r="53" ht="14.25" customHeight="1" s="54"/>
    <row r="54" ht="14.25" customHeight="1" s="54"/>
    <row r="55" ht="14.25" customHeight="1" s="54"/>
    <row r="56" ht="14.25" customHeight="1" s="54"/>
    <row r="57" ht="14.25" customHeight="1" s="54"/>
    <row r="58" ht="14.25" customHeight="1" s="54"/>
    <row r="59" ht="14.25" customHeight="1" s="54"/>
    <row r="60" ht="14.25" customHeight="1" s="54"/>
    <row r="61" ht="14.25" customHeight="1" s="54"/>
    <row r="62" ht="14.25" customHeight="1" s="54"/>
    <row r="63" ht="14.25" customHeight="1" s="54"/>
    <row r="64" ht="14.25" customHeight="1" s="54"/>
    <row r="65" ht="14.25" customHeight="1" s="54"/>
    <row r="66" ht="14.25" customHeight="1" s="54"/>
    <row r="67" ht="14.25" customHeight="1" s="54"/>
    <row r="68" ht="14.25" customHeight="1" s="54"/>
    <row r="69" ht="14.25" customHeight="1" s="54"/>
    <row r="70" ht="14.25" customHeight="1" s="54"/>
    <row r="71" ht="14.25" customHeight="1" s="54"/>
    <row r="72" ht="14.25" customHeight="1" s="54"/>
    <row r="73" ht="14.25" customHeight="1" s="54"/>
    <row r="74" ht="14.25" customHeight="1" s="54"/>
    <row r="75" ht="14.25" customHeight="1" s="54"/>
    <row r="76" ht="14.25" customHeight="1" s="54"/>
    <row r="77" ht="14.25" customHeight="1" s="54"/>
    <row r="78" ht="14.25" customHeight="1" s="54"/>
    <row r="79" ht="14.25" customHeight="1" s="54"/>
    <row r="80" ht="14.25" customHeight="1" s="54"/>
    <row r="81" ht="14.25" customHeight="1" s="54"/>
    <row r="82" ht="14.25" customHeight="1" s="54"/>
    <row r="83" ht="14.25" customHeight="1" s="54"/>
    <row r="84" ht="14.25" customHeight="1" s="54"/>
    <row r="85" ht="14.25" customHeight="1" s="54"/>
    <row r="86" ht="14.25" customHeight="1" s="54"/>
    <row r="87" ht="14.25" customHeight="1" s="54"/>
    <row r="88" ht="14.25" customHeight="1" s="54"/>
    <row r="89" ht="14.25" customHeight="1" s="54"/>
    <row r="90" ht="14.25" customHeight="1" s="54"/>
    <row r="91" ht="14.25" customHeight="1" s="54"/>
    <row r="92" ht="14.25" customHeight="1" s="54"/>
    <row r="93" ht="14.25" customHeight="1" s="54"/>
    <row r="94" ht="14.25" customHeight="1" s="54"/>
    <row r="95" ht="14.25" customHeight="1" s="54"/>
    <row r="96" ht="14.25" customHeight="1" s="54"/>
    <row r="97" ht="14.25" customHeight="1" s="54"/>
    <row r="98" ht="14.25" customHeight="1" s="54"/>
    <row r="99" ht="14.25" customHeight="1" s="54"/>
    <row r="100" ht="14.25" customHeight="1" s="54"/>
    <row r="101" ht="14.25" customHeight="1" s="54"/>
    <row r="102" ht="14.25" customHeight="1" s="54"/>
    <row r="103" ht="14.25" customHeight="1" s="54"/>
    <row r="104" ht="14.25" customHeight="1" s="54"/>
    <row r="105" ht="14.25" customHeight="1" s="54"/>
    <row r="106" ht="14.25" customHeight="1" s="54"/>
    <row r="107" ht="14.25" customHeight="1" s="54"/>
    <row r="108" ht="14.25" customHeight="1" s="54"/>
    <row r="109" ht="14.25" customHeight="1" s="54"/>
    <row r="110" ht="14.25" customHeight="1" s="54"/>
    <row r="111" ht="14.25" customHeight="1" s="54"/>
    <row r="112" ht="14.25" customHeight="1" s="54"/>
    <row r="113" ht="14.25" customHeight="1" s="54"/>
    <row r="114" ht="14.25" customHeight="1" s="54"/>
    <row r="115" ht="14.25" customHeight="1" s="54"/>
    <row r="116" ht="14.25" customHeight="1" s="54"/>
    <row r="117" ht="14.25" customHeight="1" s="54"/>
    <row r="118" ht="14.25" customHeight="1" s="54"/>
    <row r="119" ht="14.25" customHeight="1" s="54"/>
    <row r="120" ht="14.25" customHeight="1" s="54"/>
    <row r="121" ht="14.25" customHeight="1" s="54"/>
    <row r="122" ht="14.25" customHeight="1" s="54"/>
    <row r="123" ht="14.25" customHeight="1" s="54"/>
    <row r="124" ht="14.25" customHeight="1" s="54"/>
    <row r="125" ht="14.25" customHeight="1" s="54"/>
    <row r="126" ht="14.25" customHeight="1" s="54"/>
    <row r="127" ht="14.25" customHeight="1" s="54"/>
    <row r="128" ht="14.25" customHeight="1" s="54"/>
    <row r="129" ht="14.25" customHeight="1" s="54"/>
    <row r="130" ht="14.25" customHeight="1" s="54"/>
    <row r="131" ht="14.25" customHeight="1" s="54"/>
    <row r="132" ht="14.25" customHeight="1" s="54"/>
    <row r="133" ht="14.25" customHeight="1" s="54"/>
    <row r="134" ht="14.25" customHeight="1" s="54"/>
    <row r="135" ht="14.25" customHeight="1" s="54"/>
    <row r="136" ht="14.25" customHeight="1" s="54"/>
    <row r="137" ht="14.25" customHeight="1" s="54"/>
    <row r="138" ht="14.25" customHeight="1" s="54"/>
    <row r="139" ht="14.25" customHeight="1" s="54"/>
    <row r="140" ht="14.25" customHeight="1" s="54"/>
    <row r="141" ht="14.25" customHeight="1" s="54"/>
    <row r="142" ht="14.25" customHeight="1" s="54"/>
    <row r="143" ht="14.25" customHeight="1" s="54"/>
    <row r="144" ht="14.25" customHeight="1" s="54"/>
    <row r="145" ht="14.25" customHeight="1" s="54"/>
    <row r="146" ht="14.25" customHeight="1" s="54"/>
    <row r="147" ht="14.25" customHeight="1" s="54"/>
    <row r="148" ht="14.25" customHeight="1" s="54"/>
    <row r="149" ht="14.25" customHeight="1" s="54"/>
    <row r="150" ht="14.25" customHeight="1" s="54"/>
    <row r="151" ht="14.25" customHeight="1" s="54"/>
    <row r="152" ht="14.25" customHeight="1" s="54"/>
    <row r="153" ht="14.25" customHeight="1" s="54"/>
    <row r="154" ht="14.25" customHeight="1" s="54"/>
    <row r="155" ht="14.25" customHeight="1" s="54"/>
    <row r="156" ht="14.25" customHeight="1" s="54"/>
    <row r="157" ht="14.25" customHeight="1" s="54"/>
    <row r="158" ht="14.25" customHeight="1" s="54"/>
    <row r="159" ht="14.25" customHeight="1" s="54"/>
    <row r="160" ht="14.25" customHeight="1" s="54"/>
    <row r="161" ht="14.25" customHeight="1" s="54"/>
    <row r="162" ht="14.25" customHeight="1" s="54"/>
    <row r="163" ht="14.25" customHeight="1" s="54"/>
    <row r="164" ht="14.25" customHeight="1" s="54"/>
    <row r="165" ht="14.25" customHeight="1" s="54"/>
    <row r="166" ht="14.25" customHeight="1" s="54"/>
    <row r="167" ht="14.25" customHeight="1" s="54"/>
    <row r="168" ht="14.25" customHeight="1" s="54"/>
    <row r="169" ht="14.25" customHeight="1" s="54"/>
    <row r="170" ht="14.25" customHeight="1" s="54"/>
    <row r="171" ht="14.25" customHeight="1" s="54"/>
    <row r="172" ht="14.25" customHeight="1" s="54"/>
    <row r="173" ht="14.25" customHeight="1" s="54"/>
    <row r="174" ht="14.25" customHeight="1" s="54"/>
    <row r="175" ht="14.25" customHeight="1" s="54"/>
    <row r="176" ht="14.25" customHeight="1" s="54"/>
    <row r="177" ht="14.25" customHeight="1" s="54"/>
    <row r="178" ht="14.25" customHeight="1" s="54"/>
    <row r="179" ht="14.25" customHeight="1" s="54"/>
    <row r="180" ht="14.25" customHeight="1" s="54"/>
    <row r="181" ht="14.25" customHeight="1" s="54"/>
    <row r="182" ht="14.25" customHeight="1" s="54"/>
    <row r="183" ht="14.25" customHeight="1" s="54"/>
    <row r="184" ht="14.25" customHeight="1" s="54"/>
    <row r="185" ht="14.25" customHeight="1" s="54"/>
    <row r="186" ht="14.25" customHeight="1" s="54"/>
    <row r="187" ht="14.25" customHeight="1" s="54"/>
    <row r="188" ht="14.25" customHeight="1" s="54"/>
    <row r="189" ht="14.25" customHeight="1" s="54"/>
    <row r="190" ht="14.25" customHeight="1" s="54"/>
    <row r="191" ht="14.25" customHeight="1" s="54"/>
    <row r="192" ht="14.25" customHeight="1" s="54"/>
    <row r="193" ht="14.25" customHeight="1" s="54"/>
    <row r="194" ht="14.25" customHeight="1" s="54"/>
    <row r="195" ht="14.25" customHeight="1" s="54"/>
    <row r="196" ht="14.25" customHeight="1" s="54"/>
    <row r="197" ht="14.25" customHeight="1" s="54"/>
    <row r="198" ht="14.25" customHeight="1" s="54"/>
    <row r="199" ht="14.25" customHeight="1" s="54"/>
    <row r="200" ht="14.25" customHeight="1" s="54"/>
    <row r="201" ht="14.25" customHeight="1" s="54"/>
    <row r="202" ht="14.25" customHeight="1" s="54"/>
    <row r="203" ht="14.25" customHeight="1" s="54"/>
    <row r="204" ht="14.25" customHeight="1" s="54"/>
    <row r="205" ht="14.25" customHeight="1" s="54"/>
    <row r="206" ht="14.25" customHeight="1" s="54"/>
    <row r="207" ht="14.25" customHeight="1" s="54"/>
    <row r="208" ht="14.25" customHeight="1" s="54"/>
    <row r="209" ht="14.25" customHeight="1" s="54"/>
    <row r="210" ht="14.25" customHeight="1" s="54"/>
    <row r="211" ht="14.25" customHeight="1" s="54"/>
    <row r="212" ht="14.25" customHeight="1" s="54"/>
    <row r="213" ht="14.25" customHeight="1" s="54"/>
    <row r="214" ht="14.25" customHeight="1" s="54"/>
    <row r="215" ht="14.25" customHeight="1" s="54"/>
    <row r="216" ht="14.25" customHeight="1" s="54"/>
    <row r="217" ht="14.25" customHeight="1" s="54"/>
    <row r="218" ht="14.25" customHeight="1" s="54"/>
    <row r="219" ht="14.25" customHeight="1" s="54"/>
    <row r="220" ht="14.25" customHeight="1" s="54"/>
    <row r="221" ht="14.25" customHeight="1" s="54"/>
    <row r="222" ht="14.25" customHeight="1" s="54"/>
    <row r="223" ht="14.25" customHeight="1" s="54"/>
    <row r="224" ht="14.25" customHeight="1" s="54"/>
    <row r="225" ht="14.25" customHeight="1" s="54"/>
    <row r="226" ht="14.25" customHeight="1" s="54"/>
    <row r="227" ht="14.25" customHeight="1" s="54"/>
    <row r="228" ht="14.25" customHeight="1" s="54"/>
    <row r="229" ht="14.25" customHeight="1" s="54"/>
    <row r="230" ht="14.25" customHeight="1" s="54"/>
    <row r="231" ht="14.25" customHeight="1" s="54"/>
    <row r="232" ht="14.25" customHeight="1" s="54"/>
    <row r="233" ht="14.25" customHeight="1" s="54"/>
    <row r="234" ht="14.25" customHeight="1" s="54"/>
    <row r="235" ht="14.25" customHeight="1" s="54"/>
    <row r="236" ht="14.25" customHeight="1" s="54"/>
    <row r="237" ht="14.25" customHeight="1" s="54"/>
    <row r="238" ht="14.25" customHeight="1" s="54"/>
    <row r="239" ht="14.25" customHeight="1" s="54"/>
    <row r="240" ht="14.25" customHeight="1" s="54"/>
    <row r="241" ht="14.25" customHeight="1" s="54"/>
    <row r="242" ht="14.25" customHeight="1" s="54"/>
    <row r="243" ht="14.25" customHeight="1" s="54"/>
    <row r="244" ht="14.25" customHeight="1" s="54"/>
    <row r="245" ht="14.25" customHeight="1" s="54"/>
    <row r="246" ht="14.25" customHeight="1" s="54"/>
    <row r="247" ht="14.25" customHeight="1" s="54"/>
    <row r="248" ht="14.25" customHeight="1" s="54"/>
    <row r="249" ht="14.25" customHeight="1" s="54"/>
    <row r="250" ht="14.25" customHeight="1" s="54"/>
    <row r="251" ht="14.25" customHeight="1" s="54"/>
    <row r="252" ht="14.25" customHeight="1" s="54"/>
    <row r="253" ht="14.25" customHeight="1" s="54"/>
    <row r="254" ht="14.25" customHeight="1" s="54"/>
    <row r="255" ht="14.25" customHeight="1" s="54"/>
    <row r="256" ht="14.25" customHeight="1" s="54"/>
    <row r="257" ht="14.25" customHeight="1" s="54"/>
    <row r="258" ht="14.25" customHeight="1" s="54"/>
    <row r="259" ht="14.25" customHeight="1" s="54"/>
    <row r="260" ht="14.25" customHeight="1" s="54"/>
    <row r="261" ht="14.25" customHeight="1" s="54"/>
    <row r="262" ht="14.25" customHeight="1" s="54"/>
    <row r="263" ht="14.25" customHeight="1" s="54"/>
    <row r="264" ht="14.25" customHeight="1" s="54"/>
    <row r="265" ht="14.25" customHeight="1" s="54"/>
    <row r="266" ht="14.25" customHeight="1" s="54"/>
    <row r="267" ht="14.25" customHeight="1" s="54"/>
    <row r="268" ht="14.25" customHeight="1" s="54"/>
    <row r="269" ht="14.25" customHeight="1" s="54"/>
    <row r="270" ht="14.25" customHeight="1" s="54"/>
    <row r="271" ht="14.25" customHeight="1" s="54"/>
    <row r="272" ht="14.25" customHeight="1" s="54"/>
    <row r="273" ht="14.25" customHeight="1" s="54"/>
    <row r="274" ht="14.25" customHeight="1" s="54"/>
    <row r="275" ht="14.25" customHeight="1" s="54"/>
    <row r="276" ht="14.25" customHeight="1" s="54"/>
    <row r="277" ht="14.25" customHeight="1" s="54"/>
    <row r="278" ht="14.25" customHeight="1" s="54"/>
    <row r="279" ht="14.25" customHeight="1" s="54"/>
    <row r="280" ht="14.25" customHeight="1" s="54"/>
    <row r="281" ht="14.25" customHeight="1" s="54"/>
    <row r="282" ht="14.25" customHeight="1" s="54"/>
    <row r="283" ht="14.25" customHeight="1" s="54"/>
    <row r="284" ht="14.25" customHeight="1" s="54"/>
    <row r="285" ht="14.25" customHeight="1" s="54"/>
    <row r="286" ht="14.25" customHeight="1" s="54"/>
    <row r="287" ht="14.25" customHeight="1" s="54"/>
    <row r="288" ht="14.25" customHeight="1" s="54"/>
    <row r="289" ht="14.25" customHeight="1" s="54"/>
    <row r="290" ht="14.25" customHeight="1" s="54"/>
    <row r="291" ht="14.25" customHeight="1" s="54"/>
    <row r="292" ht="14.25" customHeight="1" s="54"/>
    <row r="293" ht="14.25" customHeight="1" s="54"/>
    <row r="294" ht="14.25" customHeight="1" s="54"/>
    <row r="295" ht="14.25" customHeight="1" s="54"/>
    <row r="296" ht="14.25" customHeight="1" s="54"/>
    <row r="297" ht="14.25" customHeight="1" s="54"/>
    <row r="298" ht="14.25" customHeight="1" s="54"/>
    <row r="299" ht="14.25" customHeight="1" s="54"/>
    <row r="300" ht="14.25" customHeight="1" s="54"/>
    <row r="301" ht="14.25" customHeight="1" s="54"/>
    <row r="302" ht="14.25" customHeight="1" s="54"/>
    <row r="303" ht="14.25" customHeight="1" s="54"/>
    <row r="304" ht="14.25" customHeight="1" s="54"/>
    <row r="305" ht="14.25" customHeight="1" s="54"/>
    <row r="306" ht="14.25" customHeight="1" s="54"/>
    <row r="307" ht="14.25" customHeight="1" s="54"/>
    <row r="308" ht="14.25" customHeight="1" s="54"/>
    <row r="309" ht="14.25" customHeight="1" s="54"/>
    <row r="310" ht="14.25" customHeight="1" s="54"/>
    <row r="311" ht="14.25" customHeight="1" s="54"/>
    <row r="312" ht="14.25" customHeight="1" s="54"/>
    <row r="313" ht="14.25" customHeight="1" s="54"/>
    <row r="314" ht="14.25" customHeight="1" s="54"/>
    <row r="315" ht="14.25" customHeight="1" s="54"/>
    <row r="316" ht="14.25" customHeight="1" s="54"/>
    <row r="317" ht="14.25" customHeight="1" s="54"/>
    <row r="318" ht="14.25" customHeight="1" s="54"/>
    <row r="319" ht="14.25" customHeight="1" s="54"/>
    <row r="320" ht="14.25" customHeight="1" s="54"/>
    <row r="321" ht="14.25" customHeight="1" s="54"/>
    <row r="322" ht="14.25" customHeight="1" s="54"/>
    <row r="323" ht="14.25" customHeight="1" s="54"/>
    <row r="324" ht="14.25" customHeight="1" s="54"/>
    <row r="325" ht="14.25" customHeight="1" s="54"/>
    <row r="326" ht="14.25" customHeight="1" s="54"/>
    <row r="327" ht="14.25" customHeight="1" s="54"/>
    <row r="328" ht="14.25" customHeight="1" s="54"/>
    <row r="329" ht="14.25" customHeight="1" s="54"/>
    <row r="330" ht="14.25" customHeight="1" s="54"/>
    <row r="331" ht="14.25" customHeight="1" s="54"/>
    <row r="332" ht="14.25" customHeight="1" s="54"/>
    <row r="333" ht="14.25" customHeight="1" s="54"/>
    <row r="334" ht="14.25" customHeight="1" s="54"/>
    <row r="335" ht="14.25" customHeight="1" s="54"/>
    <row r="336" ht="14.25" customHeight="1" s="54"/>
    <row r="337" ht="14.25" customHeight="1" s="54"/>
    <row r="338" ht="14.25" customHeight="1" s="54"/>
    <row r="339" ht="14.25" customHeight="1" s="54"/>
    <row r="340" ht="14.25" customHeight="1" s="54"/>
    <row r="341" ht="14.25" customHeight="1" s="54"/>
    <row r="342" ht="14.25" customHeight="1" s="54"/>
    <row r="343" ht="14.25" customHeight="1" s="54"/>
    <row r="344" ht="14.25" customHeight="1" s="54"/>
    <row r="345" ht="14.25" customHeight="1" s="54"/>
    <row r="346" ht="14.25" customHeight="1" s="54"/>
    <row r="347" ht="14.25" customHeight="1" s="54"/>
    <row r="348" ht="14.25" customHeight="1" s="54"/>
    <row r="349" ht="14.25" customHeight="1" s="54"/>
    <row r="350" ht="14.25" customHeight="1" s="54"/>
    <row r="351" ht="14.25" customHeight="1" s="54"/>
    <row r="352" ht="14.25" customHeight="1" s="54"/>
    <row r="353" ht="14.25" customHeight="1" s="54"/>
    <row r="354" ht="14.25" customHeight="1" s="54"/>
    <row r="355" ht="14.25" customHeight="1" s="54"/>
    <row r="356" ht="14.25" customHeight="1" s="54"/>
    <row r="357" ht="14.25" customHeight="1" s="54"/>
    <row r="358" ht="14.25" customHeight="1" s="54"/>
    <row r="359" ht="14.25" customHeight="1" s="54"/>
    <row r="360" ht="14.25" customHeight="1" s="54"/>
    <row r="361" ht="14.25" customHeight="1" s="54"/>
    <row r="362" ht="14.25" customHeight="1" s="54"/>
    <row r="363" ht="14.25" customHeight="1" s="54"/>
    <row r="364" ht="14.25" customHeight="1" s="54"/>
    <row r="365" ht="14.25" customHeight="1" s="54"/>
    <row r="366" ht="14.25" customHeight="1" s="54"/>
    <row r="367" ht="14.25" customHeight="1" s="54"/>
    <row r="368" ht="14.25" customHeight="1" s="54"/>
    <row r="369" ht="14.25" customHeight="1" s="54"/>
    <row r="370" ht="14.25" customHeight="1" s="54"/>
    <row r="371" ht="14.25" customHeight="1" s="54"/>
    <row r="372" ht="14.25" customHeight="1" s="54"/>
    <row r="373" ht="14.25" customHeight="1" s="54"/>
    <row r="374" ht="14.25" customHeight="1" s="54"/>
    <row r="375" ht="14.25" customHeight="1" s="54"/>
    <row r="376" ht="14.25" customHeight="1" s="54"/>
    <row r="377" ht="14.25" customHeight="1" s="54"/>
    <row r="378" ht="14.25" customHeight="1" s="54"/>
    <row r="379" ht="14.25" customHeight="1" s="54"/>
    <row r="380" ht="14.25" customHeight="1" s="54"/>
    <row r="381" ht="14.25" customHeight="1" s="54"/>
    <row r="382" ht="14.25" customHeight="1" s="54"/>
    <row r="383" ht="14.25" customHeight="1" s="54"/>
    <row r="384" ht="14.25" customHeight="1" s="54"/>
    <row r="385" ht="14.25" customHeight="1" s="54"/>
    <row r="386" ht="14.25" customHeight="1" s="54"/>
    <row r="387" ht="14.25" customHeight="1" s="54"/>
    <row r="388" ht="14.25" customHeight="1" s="54"/>
    <row r="389" ht="14.25" customHeight="1" s="54"/>
    <row r="390" ht="14.25" customHeight="1" s="54"/>
    <row r="391" ht="14.25" customHeight="1" s="54"/>
    <row r="392" ht="14.25" customHeight="1" s="54"/>
    <row r="393" ht="14.25" customHeight="1" s="54"/>
    <row r="394" ht="14.25" customHeight="1" s="54"/>
    <row r="395" ht="14.25" customHeight="1" s="54"/>
    <row r="396" ht="14.25" customHeight="1" s="54"/>
    <row r="397" ht="14.25" customHeight="1" s="54"/>
    <row r="398" ht="14.25" customHeight="1" s="54"/>
    <row r="399" ht="14.25" customHeight="1" s="54"/>
    <row r="400" ht="14.25" customHeight="1" s="54"/>
    <row r="401" ht="14.25" customHeight="1" s="54"/>
    <row r="402" ht="14.25" customHeight="1" s="54"/>
    <row r="403" ht="14.25" customHeight="1" s="54"/>
    <row r="404" ht="14.25" customHeight="1" s="54"/>
    <row r="405" ht="14.25" customHeight="1" s="54"/>
    <row r="406" ht="14.25" customHeight="1" s="54"/>
    <row r="407" ht="14.25" customHeight="1" s="54"/>
    <row r="408" ht="14.25" customHeight="1" s="54"/>
    <row r="409" ht="14.25" customHeight="1" s="54"/>
    <row r="410" ht="14.25" customHeight="1" s="54"/>
    <row r="411" ht="14.25" customHeight="1" s="54"/>
    <row r="412" ht="14.25" customHeight="1" s="54"/>
    <row r="413" ht="14.25" customHeight="1" s="54"/>
    <row r="414" ht="14.25" customHeight="1" s="54"/>
    <row r="415" ht="14.25" customHeight="1" s="54"/>
    <row r="416" ht="14.25" customHeight="1" s="54"/>
    <row r="417" ht="14.25" customHeight="1" s="54"/>
    <row r="418" ht="14.25" customHeight="1" s="54"/>
    <row r="419" ht="14.25" customHeight="1" s="54"/>
    <row r="420" ht="14.25" customHeight="1" s="54"/>
    <row r="421" ht="14.25" customHeight="1" s="54"/>
    <row r="422" ht="14.25" customHeight="1" s="54"/>
    <row r="423" ht="14.25" customHeight="1" s="54"/>
    <row r="424" ht="14.25" customHeight="1" s="54"/>
    <row r="425" ht="14.25" customHeight="1" s="54"/>
    <row r="426" ht="14.25" customHeight="1" s="54"/>
    <row r="427" ht="14.25" customHeight="1" s="54"/>
    <row r="428" ht="14.25" customHeight="1" s="54"/>
    <row r="429" ht="14.25" customHeight="1" s="54"/>
    <row r="430" ht="14.25" customHeight="1" s="54"/>
    <row r="431" ht="14.25" customHeight="1" s="54"/>
    <row r="432" ht="14.25" customHeight="1" s="54"/>
    <row r="433" ht="14.25" customHeight="1" s="54"/>
    <row r="434" ht="14.25" customHeight="1" s="54"/>
    <row r="435" ht="14.25" customHeight="1" s="54"/>
    <row r="436" ht="14.25" customHeight="1" s="54"/>
    <row r="437" ht="14.25" customHeight="1" s="54"/>
    <row r="438" ht="14.25" customHeight="1" s="54"/>
    <row r="439" ht="14.25" customHeight="1" s="54"/>
    <row r="440" ht="14.25" customHeight="1" s="54"/>
    <row r="441" ht="14.25" customHeight="1" s="54"/>
    <row r="442" ht="14.25" customHeight="1" s="54"/>
    <row r="443" ht="14.25" customHeight="1" s="54"/>
    <row r="444" ht="14.25" customHeight="1" s="54"/>
    <row r="445" ht="14.25" customHeight="1" s="54"/>
    <row r="446" ht="14.25" customHeight="1" s="54"/>
    <row r="447" ht="14.25" customHeight="1" s="54"/>
    <row r="448" ht="14.25" customHeight="1" s="54"/>
    <row r="449" ht="14.25" customHeight="1" s="54"/>
    <row r="450" ht="14.25" customHeight="1" s="54"/>
    <row r="451" ht="14.25" customHeight="1" s="54"/>
    <row r="452" ht="14.25" customHeight="1" s="54"/>
    <row r="453" ht="14.25" customHeight="1" s="54"/>
    <row r="454" ht="14.25" customHeight="1" s="54"/>
    <row r="455" ht="14.25" customHeight="1" s="54"/>
    <row r="456" ht="14.25" customHeight="1" s="54"/>
    <row r="457" ht="14.25" customHeight="1" s="54"/>
    <row r="458" ht="14.25" customHeight="1" s="54"/>
    <row r="459" ht="14.25" customHeight="1" s="54"/>
    <row r="460" ht="14.25" customHeight="1" s="54"/>
    <row r="461" ht="14.25" customHeight="1" s="54"/>
    <row r="462" ht="14.25" customHeight="1" s="54"/>
    <row r="463" ht="14.25" customHeight="1" s="54"/>
    <row r="464" ht="14.25" customHeight="1" s="54"/>
    <row r="465" ht="14.25" customHeight="1" s="54"/>
    <row r="466" ht="14.25" customHeight="1" s="54"/>
    <row r="467" ht="14.25" customHeight="1" s="54"/>
    <row r="468" ht="14.25" customHeight="1" s="54"/>
    <row r="469" ht="14.25" customHeight="1" s="54"/>
    <row r="470" ht="14.25" customHeight="1" s="54"/>
    <row r="471" ht="14.25" customHeight="1" s="54"/>
    <row r="472" ht="14.25" customHeight="1" s="54"/>
    <row r="473" ht="14.25" customHeight="1" s="54"/>
    <row r="474" ht="14.25" customHeight="1" s="54"/>
    <row r="475" ht="14.25" customHeight="1" s="54"/>
    <row r="476" ht="14.25" customHeight="1" s="54"/>
    <row r="477" ht="14.25" customHeight="1" s="54"/>
    <row r="478" ht="14.25" customHeight="1" s="54"/>
    <row r="479" ht="14.25" customHeight="1" s="54"/>
    <row r="480" ht="14.25" customHeight="1" s="54"/>
    <row r="481" ht="14.25" customHeight="1" s="54"/>
    <row r="482" ht="14.25" customHeight="1" s="54"/>
    <row r="483" ht="14.25" customHeight="1" s="54"/>
    <row r="484" ht="14.25" customHeight="1" s="54"/>
    <row r="485" ht="14.25" customHeight="1" s="54"/>
    <row r="486" ht="14.25" customHeight="1" s="54"/>
    <row r="487" ht="14.25" customHeight="1" s="54"/>
    <row r="488" ht="14.25" customHeight="1" s="54"/>
    <row r="489" ht="14.25" customHeight="1" s="54"/>
    <row r="490" ht="14.25" customHeight="1" s="54"/>
    <row r="491" ht="14.25" customHeight="1" s="54"/>
    <row r="492" ht="14.25" customHeight="1" s="54"/>
    <row r="493" ht="14.25" customHeight="1" s="54"/>
    <row r="494" ht="14.25" customHeight="1" s="54"/>
    <row r="495" ht="14.25" customHeight="1" s="54"/>
    <row r="496" ht="14.25" customHeight="1" s="54"/>
    <row r="497" ht="14.25" customHeight="1" s="54"/>
    <row r="498" ht="14.25" customHeight="1" s="54"/>
    <row r="499" ht="14.25" customHeight="1" s="54"/>
    <row r="500" ht="14.25" customHeight="1" s="54"/>
    <row r="501" ht="14.25" customHeight="1" s="54"/>
    <row r="502" ht="14.25" customHeight="1" s="54"/>
    <row r="503" ht="14.25" customHeight="1" s="54"/>
    <row r="504" ht="14.25" customHeight="1" s="54"/>
    <row r="505" ht="14.25" customHeight="1" s="54"/>
    <row r="506" ht="14.25" customHeight="1" s="54"/>
    <row r="507" ht="14.25" customHeight="1" s="54"/>
    <row r="508" ht="14.25" customHeight="1" s="54"/>
    <row r="509" ht="14.25" customHeight="1" s="54"/>
    <row r="510" ht="14.25" customHeight="1" s="54"/>
    <row r="511" ht="14.25" customHeight="1" s="54"/>
    <row r="512" ht="14.25" customHeight="1" s="54"/>
    <row r="513" ht="14.25" customHeight="1" s="54"/>
    <row r="514" ht="14.25" customHeight="1" s="54"/>
    <row r="515" ht="14.25" customHeight="1" s="54"/>
    <row r="516" ht="14.25" customHeight="1" s="54"/>
    <row r="517" ht="14.25" customHeight="1" s="54"/>
    <row r="518" ht="14.25" customHeight="1" s="54"/>
    <row r="519" ht="14.25" customHeight="1" s="54"/>
    <row r="520" ht="14.25" customHeight="1" s="54"/>
    <row r="521" ht="14.25" customHeight="1" s="54"/>
    <row r="522" ht="14.25" customHeight="1" s="54"/>
    <row r="523" ht="14.25" customHeight="1" s="54"/>
    <row r="524" ht="14.25" customHeight="1" s="54"/>
    <row r="525" ht="14.25" customHeight="1" s="54"/>
    <row r="526" ht="14.25" customHeight="1" s="54"/>
    <row r="527" ht="14.25" customHeight="1" s="54"/>
    <row r="528" ht="14.25" customHeight="1" s="54"/>
    <row r="529" ht="14.25" customHeight="1" s="54"/>
    <row r="530" ht="14.25" customHeight="1" s="54"/>
    <row r="531" ht="14.25" customHeight="1" s="54"/>
    <row r="532" ht="14.25" customHeight="1" s="54"/>
    <row r="533" ht="14.25" customHeight="1" s="54"/>
    <row r="534" ht="14.25" customHeight="1" s="54"/>
    <row r="535" ht="14.25" customHeight="1" s="54"/>
    <row r="536" ht="14.25" customHeight="1" s="54"/>
    <row r="537" ht="14.25" customHeight="1" s="54"/>
    <row r="538" ht="14.25" customHeight="1" s="54"/>
    <row r="539" ht="14.25" customHeight="1" s="54"/>
    <row r="540" ht="14.25" customHeight="1" s="54"/>
    <row r="541" ht="14.25" customHeight="1" s="54"/>
    <row r="542" ht="14.25" customHeight="1" s="54"/>
    <row r="543" ht="14.25" customHeight="1" s="54"/>
    <row r="544" ht="14.25" customHeight="1" s="54"/>
    <row r="545" ht="14.25" customHeight="1" s="54"/>
    <row r="546" ht="14.25" customHeight="1" s="54"/>
    <row r="547" ht="14.25" customHeight="1" s="54"/>
    <row r="548" ht="14.25" customHeight="1" s="54"/>
    <row r="549" ht="14.25" customHeight="1" s="54"/>
    <row r="550" ht="14.25" customHeight="1" s="54"/>
    <row r="551" ht="14.25" customHeight="1" s="54"/>
    <row r="552" ht="14.25" customHeight="1" s="54"/>
    <row r="553" ht="14.25" customHeight="1" s="54"/>
    <row r="554" ht="14.25" customHeight="1" s="54"/>
    <row r="555" ht="14.25" customHeight="1" s="54"/>
    <row r="556" ht="14.25" customHeight="1" s="54"/>
    <row r="557" ht="14.25" customHeight="1" s="54"/>
    <row r="558" ht="14.25" customHeight="1" s="54"/>
    <row r="559" ht="14.25" customHeight="1" s="54"/>
    <row r="560" ht="14.25" customHeight="1" s="54"/>
    <row r="561" ht="14.25" customHeight="1" s="54"/>
    <row r="562" ht="14.25" customHeight="1" s="54"/>
    <row r="563" ht="14.25" customHeight="1" s="54"/>
    <row r="564" ht="14.25" customHeight="1" s="54"/>
    <row r="565" ht="14.25" customHeight="1" s="54"/>
    <row r="566" ht="14.25" customHeight="1" s="54"/>
    <row r="567" ht="14.25" customHeight="1" s="54"/>
    <row r="568" ht="14.25" customHeight="1" s="54"/>
    <row r="569" ht="14.25" customHeight="1" s="54"/>
    <row r="570" ht="14.25" customHeight="1" s="54"/>
    <row r="571" ht="14.25" customHeight="1" s="54"/>
    <row r="572" ht="14.25" customHeight="1" s="54"/>
    <row r="573" ht="14.25" customHeight="1" s="54"/>
    <row r="574" ht="14.25" customHeight="1" s="54"/>
    <row r="575" ht="14.25" customHeight="1" s="54"/>
    <row r="576" ht="14.25" customHeight="1" s="54"/>
    <row r="577" ht="14.25" customHeight="1" s="54"/>
    <row r="578" ht="14.25" customHeight="1" s="54"/>
    <row r="579" ht="14.25" customHeight="1" s="54"/>
    <row r="580" ht="14.25" customHeight="1" s="54"/>
    <row r="581" ht="14.25" customHeight="1" s="54"/>
    <row r="582" ht="14.25" customHeight="1" s="54"/>
    <row r="583" ht="14.25" customHeight="1" s="54"/>
    <row r="584" ht="14.25" customHeight="1" s="54"/>
    <row r="585" ht="14.25" customHeight="1" s="54"/>
    <row r="586" ht="14.25" customHeight="1" s="54"/>
    <row r="587" ht="14.25" customHeight="1" s="54"/>
    <row r="588" ht="14.25" customHeight="1" s="54"/>
    <row r="589" ht="14.25" customHeight="1" s="54"/>
    <row r="590" ht="14.25" customHeight="1" s="54"/>
    <row r="591" ht="14.25" customHeight="1" s="54"/>
    <row r="592" ht="14.25" customHeight="1" s="54"/>
    <row r="593" ht="14.25" customHeight="1" s="54"/>
    <row r="594" ht="14.25" customHeight="1" s="54"/>
    <row r="595" ht="14.25" customHeight="1" s="54"/>
    <row r="596" ht="14.25" customHeight="1" s="54"/>
    <row r="597" ht="14.25" customHeight="1" s="54"/>
    <row r="598" ht="14.25" customHeight="1" s="54"/>
    <row r="599" ht="14.25" customHeight="1" s="54"/>
    <row r="600" ht="14.25" customHeight="1" s="54"/>
    <row r="601" ht="14.25" customHeight="1" s="54"/>
    <row r="602" ht="14.25" customHeight="1" s="54"/>
    <row r="603" ht="14.25" customHeight="1" s="54"/>
    <row r="604" ht="14.25" customHeight="1" s="54"/>
    <row r="605" ht="14.25" customHeight="1" s="54"/>
    <row r="606" ht="14.25" customHeight="1" s="54"/>
    <row r="607" ht="14.25" customHeight="1" s="54"/>
    <row r="608" ht="14.25" customHeight="1" s="54"/>
    <row r="609" ht="14.25" customHeight="1" s="54"/>
    <row r="610" ht="14.25" customHeight="1" s="54"/>
    <row r="611" ht="14.25" customHeight="1" s="54"/>
    <row r="612" ht="14.25" customHeight="1" s="54"/>
    <row r="613" ht="14.25" customHeight="1" s="54"/>
    <row r="614" ht="14.25" customHeight="1" s="54"/>
    <row r="615" ht="14.25" customHeight="1" s="54"/>
    <row r="616" ht="14.25" customHeight="1" s="54"/>
    <row r="617" ht="14.25" customHeight="1" s="54"/>
    <row r="618" ht="14.25" customHeight="1" s="54"/>
    <row r="619" ht="14.25" customHeight="1" s="54"/>
    <row r="620" ht="14.25" customHeight="1" s="54"/>
    <row r="621" ht="14.25" customHeight="1" s="54"/>
    <row r="622" ht="14.25" customHeight="1" s="54"/>
    <row r="623" ht="14.25" customHeight="1" s="54"/>
    <row r="624" ht="14.25" customHeight="1" s="54"/>
    <row r="625" ht="14.25" customHeight="1" s="54"/>
    <row r="626" ht="14.25" customHeight="1" s="54"/>
    <row r="627" ht="14.25" customHeight="1" s="54"/>
    <row r="628" ht="14.25" customHeight="1" s="54"/>
    <row r="629" ht="14.25" customHeight="1" s="54"/>
    <row r="630" ht="14.25" customHeight="1" s="54"/>
    <row r="631" ht="14.25" customHeight="1" s="54"/>
    <row r="632" ht="14.25" customHeight="1" s="54"/>
    <row r="633" ht="14.25" customHeight="1" s="54"/>
    <row r="634" ht="14.25" customHeight="1" s="54"/>
    <row r="635" ht="14.25" customHeight="1" s="54"/>
    <row r="636" ht="14.25" customHeight="1" s="54"/>
    <row r="637" ht="14.25" customHeight="1" s="54"/>
    <row r="638" ht="14.25" customHeight="1" s="54"/>
    <row r="639" ht="14.25" customHeight="1" s="54"/>
    <row r="640" ht="14.25" customHeight="1" s="54"/>
    <row r="641" ht="14.25" customHeight="1" s="54"/>
    <row r="642" ht="14.25" customHeight="1" s="54"/>
    <row r="643" ht="14.25" customHeight="1" s="54"/>
    <row r="644" ht="14.25" customHeight="1" s="54"/>
    <row r="645" ht="14.25" customHeight="1" s="54"/>
    <row r="646" ht="14.25" customHeight="1" s="54"/>
    <row r="647" ht="14.25" customHeight="1" s="54"/>
    <row r="648" ht="14.25" customHeight="1" s="54"/>
    <row r="649" ht="14.25" customHeight="1" s="54"/>
    <row r="650" ht="14.25" customHeight="1" s="54"/>
    <row r="651" ht="14.25" customHeight="1" s="54"/>
    <row r="652" ht="14.25" customHeight="1" s="54"/>
    <row r="653" ht="14.25" customHeight="1" s="54"/>
    <row r="654" ht="14.25" customHeight="1" s="54"/>
    <row r="655" ht="14.25" customHeight="1" s="54"/>
    <row r="656" ht="14.25" customHeight="1" s="54"/>
    <row r="657" ht="14.25" customHeight="1" s="54"/>
    <row r="658" ht="14.25" customHeight="1" s="54"/>
    <row r="659" ht="14.25" customHeight="1" s="54"/>
    <row r="660" ht="14.25" customHeight="1" s="54"/>
    <row r="661" ht="14.25" customHeight="1" s="54"/>
    <row r="662" ht="14.25" customHeight="1" s="54"/>
    <row r="663" ht="14.25" customHeight="1" s="54"/>
    <row r="664" ht="14.25" customHeight="1" s="54"/>
    <row r="665" ht="14.25" customHeight="1" s="54"/>
    <row r="666" ht="14.25" customHeight="1" s="54"/>
    <row r="667" ht="14.25" customHeight="1" s="54"/>
    <row r="668" ht="14.25" customHeight="1" s="54"/>
    <row r="669" ht="14.25" customHeight="1" s="54"/>
    <row r="670" ht="14.25" customHeight="1" s="54"/>
    <row r="671" ht="14.25" customHeight="1" s="54"/>
    <row r="672" ht="14.25" customHeight="1" s="54"/>
    <row r="673" ht="14.25" customHeight="1" s="54"/>
    <row r="674" ht="14.25" customHeight="1" s="54"/>
    <row r="675" ht="14.25" customHeight="1" s="54"/>
    <row r="676" ht="14.25" customHeight="1" s="54"/>
    <row r="677" ht="14.25" customHeight="1" s="54"/>
    <row r="678" ht="14.25" customHeight="1" s="54"/>
    <row r="679" ht="14.25" customHeight="1" s="54"/>
    <row r="680" ht="14.25" customHeight="1" s="54"/>
    <row r="681" ht="14.25" customHeight="1" s="54"/>
    <row r="682" ht="14.25" customHeight="1" s="54"/>
    <row r="683" ht="14.25" customHeight="1" s="54"/>
    <row r="684" ht="14.25" customHeight="1" s="54"/>
    <row r="685" ht="14.25" customHeight="1" s="54"/>
    <row r="686" ht="14.25" customHeight="1" s="54"/>
    <row r="687" ht="14.25" customHeight="1" s="54"/>
    <row r="688" ht="14.25" customHeight="1" s="54"/>
    <row r="689" ht="14.25" customHeight="1" s="54"/>
    <row r="690" ht="14.25" customHeight="1" s="54"/>
    <row r="691" ht="14.25" customHeight="1" s="54"/>
    <row r="692" ht="14.25" customHeight="1" s="54"/>
    <row r="693" ht="14.25" customHeight="1" s="54"/>
    <row r="694" ht="14.25" customHeight="1" s="54"/>
    <row r="695" ht="14.25" customHeight="1" s="54"/>
    <row r="696" ht="14.25" customHeight="1" s="54"/>
    <row r="697" ht="14.25" customHeight="1" s="54"/>
    <row r="698" ht="14.25" customHeight="1" s="54"/>
    <row r="699" ht="14.25" customHeight="1" s="54"/>
    <row r="700" ht="14.25" customHeight="1" s="54"/>
    <row r="701" ht="14.25" customHeight="1" s="54"/>
    <row r="702" ht="14.25" customHeight="1" s="54"/>
    <row r="703" ht="14.25" customHeight="1" s="54"/>
    <row r="704" ht="14.25" customHeight="1" s="54"/>
    <row r="705" ht="14.25" customHeight="1" s="54"/>
    <row r="706" ht="14.25" customHeight="1" s="54"/>
    <row r="707" ht="14.25" customHeight="1" s="54"/>
    <row r="708" ht="14.25" customHeight="1" s="54"/>
    <row r="709" ht="14.25" customHeight="1" s="54"/>
    <row r="710" ht="14.25" customHeight="1" s="54"/>
    <row r="711" ht="14.25" customHeight="1" s="54"/>
    <row r="712" ht="14.25" customHeight="1" s="54"/>
    <row r="713" ht="14.25" customHeight="1" s="54"/>
    <row r="714" ht="14.25" customHeight="1" s="54"/>
    <row r="715" ht="14.25" customHeight="1" s="54"/>
    <row r="716" ht="14.25" customHeight="1" s="54"/>
    <row r="717" ht="14.25" customHeight="1" s="54"/>
    <row r="718" ht="14.25" customHeight="1" s="54"/>
    <row r="719" ht="14.25" customHeight="1" s="54"/>
    <row r="720" ht="14.25" customHeight="1" s="54"/>
    <row r="721" ht="14.25" customHeight="1" s="54"/>
    <row r="722" ht="14.25" customHeight="1" s="54"/>
    <row r="723" ht="14.25" customHeight="1" s="54"/>
    <row r="724" ht="14.25" customHeight="1" s="54"/>
    <row r="725" ht="14.25" customHeight="1" s="54"/>
    <row r="726" ht="14.25" customHeight="1" s="54"/>
    <row r="727" ht="14.25" customHeight="1" s="54"/>
    <row r="728" ht="14.25" customHeight="1" s="54"/>
    <row r="729" ht="14.25" customHeight="1" s="54"/>
    <row r="730" ht="14.25" customHeight="1" s="54"/>
    <row r="731" ht="14.25" customHeight="1" s="54"/>
    <row r="732" ht="14.25" customHeight="1" s="54"/>
    <row r="733" ht="14.25" customHeight="1" s="54"/>
    <row r="734" ht="14.25" customHeight="1" s="54"/>
    <row r="735" ht="14.25" customHeight="1" s="54"/>
    <row r="736" ht="14.25" customHeight="1" s="54"/>
    <row r="737" ht="14.25" customHeight="1" s="54"/>
    <row r="738" ht="14.25" customHeight="1" s="54"/>
    <row r="739" ht="14.25" customHeight="1" s="54"/>
    <row r="740" ht="14.25" customHeight="1" s="54"/>
    <row r="741" ht="14.25" customHeight="1" s="54"/>
    <row r="742" ht="14.25" customHeight="1" s="54"/>
    <row r="743" ht="14.25" customHeight="1" s="54"/>
    <row r="744" ht="14.25" customHeight="1" s="54"/>
    <row r="745" ht="14.25" customHeight="1" s="54"/>
    <row r="746" ht="14.25" customHeight="1" s="54"/>
    <row r="747" ht="14.25" customHeight="1" s="54"/>
    <row r="748" ht="14.25" customHeight="1" s="54"/>
    <row r="749" ht="14.25" customHeight="1" s="54"/>
    <row r="750" ht="14.25" customHeight="1" s="54"/>
    <row r="751" ht="14.25" customHeight="1" s="54"/>
    <row r="752" ht="14.25" customHeight="1" s="54"/>
    <row r="753" ht="14.25" customHeight="1" s="54"/>
    <row r="754" ht="14.25" customHeight="1" s="54"/>
    <row r="755" ht="14.25" customHeight="1" s="54"/>
    <row r="756" ht="14.25" customHeight="1" s="54"/>
    <row r="757" ht="14.25" customHeight="1" s="54"/>
    <row r="758" ht="14.25" customHeight="1" s="54"/>
    <row r="759" ht="14.25" customHeight="1" s="54"/>
    <row r="760" ht="14.25" customHeight="1" s="54"/>
    <row r="761" ht="14.25" customHeight="1" s="54"/>
    <row r="762" ht="14.25" customHeight="1" s="54"/>
    <row r="763" ht="14.25" customHeight="1" s="54"/>
    <row r="764" ht="14.25" customHeight="1" s="54"/>
    <row r="765" ht="14.25" customHeight="1" s="54"/>
    <row r="766" ht="14.25" customHeight="1" s="54"/>
    <row r="767" ht="14.25" customHeight="1" s="54"/>
    <row r="768" ht="14.25" customHeight="1" s="54"/>
    <row r="769" ht="14.25" customHeight="1" s="54"/>
    <row r="770" ht="14.25" customHeight="1" s="54"/>
    <row r="771" ht="14.25" customHeight="1" s="54"/>
    <row r="772" ht="14.25" customHeight="1" s="54"/>
    <row r="773" ht="14.25" customHeight="1" s="54"/>
    <row r="774" ht="14.25" customHeight="1" s="54"/>
    <row r="775" ht="14.25" customHeight="1" s="54"/>
    <row r="776" ht="14.25" customHeight="1" s="54"/>
    <row r="777" ht="14.25" customHeight="1" s="54"/>
    <row r="778" ht="14.25" customHeight="1" s="54"/>
    <row r="779" ht="14.25" customHeight="1" s="54"/>
    <row r="780" ht="14.25" customHeight="1" s="54"/>
    <row r="781" ht="14.25" customHeight="1" s="54"/>
    <row r="782" ht="14.25" customHeight="1" s="54"/>
    <row r="783" ht="14.25" customHeight="1" s="54"/>
    <row r="784" ht="14.25" customHeight="1" s="54"/>
    <row r="785" ht="14.25" customHeight="1" s="54"/>
    <row r="786" ht="14.25" customHeight="1" s="54"/>
    <row r="787" ht="14.25" customHeight="1" s="54"/>
    <row r="788" ht="14.25" customHeight="1" s="54"/>
    <row r="789" ht="14.25" customHeight="1" s="54"/>
    <row r="790" ht="14.25" customHeight="1" s="54"/>
    <row r="791" ht="14.25" customHeight="1" s="54"/>
    <row r="792" ht="14.25" customHeight="1" s="54"/>
    <row r="793" ht="14.25" customHeight="1" s="54"/>
    <row r="794" ht="14.25" customHeight="1" s="54"/>
    <row r="795" ht="14.25" customHeight="1" s="54"/>
    <row r="796" ht="14.25" customHeight="1" s="54"/>
    <row r="797" ht="14.25" customHeight="1" s="54"/>
    <row r="798" ht="14.25" customHeight="1" s="54"/>
    <row r="799" ht="14.25" customHeight="1" s="54"/>
    <row r="800" ht="14.25" customHeight="1" s="54"/>
    <row r="801" ht="14.25" customHeight="1" s="54"/>
    <row r="802" ht="14.25" customHeight="1" s="54"/>
    <row r="803" ht="14.25" customHeight="1" s="54"/>
    <row r="804" ht="14.25" customHeight="1" s="54"/>
    <row r="805" ht="14.25" customHeight="1" s="54"/>
    <row r="806" ht="14.25" customHeight="1" s="54"/>
    <row r="807" ht="14.25" customHeight="1" s="54"/>
    <row r="808" ht="14.25" customHeight="1" s="54"/>
    <row r="809" ht="14.25" customHeight="1" s="54"/>
    <row r="810" ht="14.25" customHeight="1" s="54"/>
    <row r="811" ht="14.25" customHeight="1" s="54"/>
    <row r="812" ht="14.25" customHeight="1" s="54"/>
    <row r="813" ht="14.25" customHeight="1" s="54"/>
    <row r="814" ht="14.25" customHeight="1" s="54"/>
    <row r="815" ht="14.25" customHeight="1" s="54"/>
    <row r="816" ht="14.25" customHeight="1" s="54"/>
    <row r="817" ht="14.25" customHeight="1" s="54"/>
    <row r="818" ht="14.25" customHeight="1" s="54"/>
    <row r="819" ht="14.25" customHeight="1" s="54"/>
    <row r="820" ht="14.25" customHeight="1" s="54"/>
    <row r="821" ht="14.25" customHeight="1" s="54"/>
    <row r="822" ht="14.25" customHeight="1" s="54"/>
    <row r="823" ht="14.25" customHeight="1" s="54"/>
    <row r="824" ht="14.25" customHeight="1" s="54"/>
    <row r="825" ht="14.25" customHeight="1" s="54"/>
    <row r="826" ht="14.25" customHeight="1" s="54"/>
    <row r="827" ht="14.25" customHeight="1" s="54"/>
    <row r="828" ht="14.25" customHeight="1" s="54"/>
    <row r="829" ht="14.25" customHeight="1" s="54"/>
    <row r="830" ht="14.25" customHeight="1" s="54"/>
    <row r="831" ht="14.25" customHeight="1" s="54"/>
    <row r="832" ht="14.25" customHeight="1" s="54"/>
    <row r="833" ht="14.25" customHeight="1" s="54"/>
    <row r="834" ht="14.25" customHeight="1" s="54"/>
    <row r="835" ht="14.25" customHeight="1" s="54"/>
    <row r="836" ht="14.25" customHeight="1" s="54"/>
    <row r="837" ht="14.25" customHeight="1" s="54"/>
    <row r="838" ht="14.25" customHeight="1" s="54"/>
    <row r="839" ht="14.25" customHeight="1" s="54"/>
    <row r="840" ht="14.25" customHeight="1" s="54"/>
    <row r="841" ht="14.25" customHeight="1" s="54"/>
    <row r="842" ht="14.25" customHeight="1" s="54"/>
    <row r="843" ht="14.25" customHeight="1" s="54"/>
    <row r="844" ht="14.25" customHeight="1" s="54"/>
    <row r="845" ht="14.25" customHeight="1" s="54"/>
    <row r="846" ht="14.25" customHeight="1" s="54"/>
    <row r="847" ht="14.25" customHeight="1" s="54"/>
    <row r="848" ht="14.25" customHeight="1" s="54"/>
    <row r="849" ht="14.25" customHeight="1" s="54"/>
    <row r="850" ht="14.25" customHeight="1" s="54"/>
    <row r="851" ht="14.25" customHeight="1" s="54"/>
    <row r="852" ht="14.25" customHeight="1" s="54"/>
    <row r="853" ht="14.25" customHeight="1" s="54"/>
    <row r="854" ht="14.25" customHeight="1" s="54"/>
    <row r="855" ht="14.25" customHeight="1" s="54"/>
    <row r="856" ht="14.25" customHeight="1" s="54"/>
    <row r="857" ht="14.25" customHeight="1" s="54"/>
    <row r="858" ht="14.25" customHeight="1" s="54"/>
    <row r="859" ht="14.25" customHeight="1" s="54"/>
    <row r="860" ht="14.25" customHeight="1" s="54"/>
    <row r="861" ht="14.25" customHeight="1" s="54"/>
    <row r="862" ht="14.25" customHeight="1" s="54"/>
    <row r="863" ht="14.25" customHeight="1" s="54"/>
    <row r="864" ht="14.25" customHeight="1" s="54"/>
    <row r="865" ht="14.25" customHeight="1" s="54"/>
    <row r="866" ht="14.25" customHeight="1" s="54"/>
    <row r="867" ht="14.25" customHeight="1" s="54"/>
    <row r="868" ht="14.25" customHeight="1" s="54"/>
    <row r="869" ht="14.25" customHeight="1" s="54"/>
    <row r="870" ht="14.25" customHeight="1" s="54"/>
    <row r="871" ht="14.25" customHeight="1" s="54"/>
    <row r="872" ht="14.25" customHeight="1" s="54"/>
    <row r="873" ht="14.25" customHeight="1" s="54"/>
    <row r="874" ht="14.25" customHeight="1" s="54"/>
    <row r="875" ht="14.25" customHeight="1" s="54"/>
    <row r="876" ht="14.25" customHeight="1" s="54"/>
    <row r="877" ht="14.25" customHeight="1" s="54"/>
    <row r="878" ht="14.25" customHeight="1" s="54"/>
    <row r="879" ht="14.25" customHeight="1" s="54"/>
    <row r="880" ht="14.25" customHeight="1" s="54"/>
    <row r="881" ht="14.25" customHeight="1" s="54"/>
    <row r="882" ht="14.25" customHeight="1" s="54"/>
    <row r="883" ht="14.25" customHeight="1" s="54"/>
    <row r="884" ht="14.25" customHeight="1" s="54"/>
    <row r="885" ht="14.25" customHeight="1" s="54"/>
    <row r="886" ht="14.25" customHeight="1" s="54"/>
    <row r="887" ht="14.25" customHeight="1" s="54"/>
    <row r="888" ht="14.25" customHeight="1" s="54"/>
    <row r="889" ht="14.25" customHeight="1" s="54"/>
    <row r="890" ht="14.25" customHeight="1" s="54"/>
    <row r="891" ht="14.25" customHeight="1" s="54"/>
    <row r="892" ht="14.25" customHeight="1" s="54"/>
    <row r="893" ht="14.25" customHeight="1" s="54"/>
    <row r="894" ht="14.25" customHeight="1" s="54"/>
    <row r="895" ht="14.25" customHeight="1" s="54"/>
    <row r="896" ht="14.25" customHeight="1" s="54"/>
    <row r="897" ht="14.25" customHeight="1" s="54"/>
    <row r="898" ht="14.25" customHeight="1" s="54"/>
    <row r="899" ht="14.25" customHeight="1" s="54"/>
    <row r="900" ht="14.25" customHeight="1" s="54"/>
    <row r="901" ht="14.25" customHeight="1" s="54"/>
    <row r="902" ht="14.25" customHeight="1" s="54"/>
    <row r="903" ht="14.25" customHeight="1" s="54"/>
    <row r="904" ht="14.25" customHeight="1" s="54"/>
    <row r="905" ht="14.25" customHeight="1" s="54"/>
    <row r="906" ht="14.25" customHeight="1" s="54"/>
    <row r="907" ht="14.25" customHeight="1" s="54"/>
    <row r="908" ht="14.25" customHeight="1" s="54"/>
    <row r="909" ht="14.25" customHeight="1" s="54"/>
    <row r="910" ht="14.25" customHeight="1" s="54"/>
    <row r="911" ht="14.25" customHeight="1" s="54"/>
    <row r="912" ht="14.25" customHeight="1" s="54"/>
    <row r="913" ht="14.25" customHeight="1" s="54"/>
    <row r="914" ht="14.25" customHeight="1" s="54"/>
    <row r="915" ht="14.25" customHeight="1" s="54"/>
    <row r="916" ht="14.25" customHeight="1" s="54"/>
    <row r="917" ht="14.25" customHeight="1" s="54"/>
    <row r="918" ht="14.25" customHeight="1" s="54"/>
    <row r="919" ht="14.25" customHeight="1" s="54"/>
    <row r="920" ht="14.25" customHeight="1" s="54"/>
    <row r="921" ht="14.25" customHeight="1" s="54"/>
    <row r="922" ht="14.25" customHeight="1" s="54"/>
    <row r="923" ht="14.25" customHeight="1" s="54"/>
    <row r="924" ht="14.25" customHeight="1" s="54"/>
    <row r="925" ht="14.25" customHeight="1" s="54"/>
    <row r="926" ht="14.25" customHeight="1" s="54"/>
    <row r="927" ht="14.25" customHeight="1" s="54"/>
    <row r="928" ht="14.25" customHeight="1" s="54"/>
    <row r="929" ht="14.25" customHeight="1" s="54"/>
    <row r="930" ht="14.25" customHeight="1" s="54"/>
    <row r="931" ht="14.25" customHeight="1" s="54"/>
    <row r="932" ht="14.25" customHeight="1" s="54"/>
    <row r="933" ht="14.25" customHeight="1" s="54"/>
    <row r="934" ht="14.25" customHeight="1" s="54"/>
    <row r="935" ht="14.25" customHeight="1" s="54"/>
    <row r="936" ht="14.25" customHeight="1" s="54"/>
    <row r="937" ht="14.25" customHeight="1" s="54"/>
    <row r="938" ht="14.25" customHeight="1" s="54"/>
    <row r="939" ht="14.25" customHeight="1" s="54"/>
    <row r="940" ht="14.25" customHeight="1" s="54"/>
    <row r="941" ht="14.25" customHeight="1" s="54"/>
    <row r="942" ht="14.25" customHeight="1" s="54"/>
    <row r="943" ht="14.25" customHeight="1" s="54"/>
    <row r="944" ht="14.25" customHeight="1" s="54"/>
    <row r="945" ht="14.25" customHeight="1" s="54"/>
    <row r="946" ht="14.25" customHeight="1" s="54"/>
    <row r="947" ht="14.25" customHeight="1" s="54"/>
    <row r="948" ht="14.25" customHeight="1" s="54"/>
    <row r="949" ht="14.25" customHeight="1" s="54"/>
    <row r="950" ht="14.25" customHeight="1" s="54"/>
    <row r="951" ht="14.25" customHeight="1" s="54"/>
    <row r="952" ht="14.25" customHeight="1" s="54"/>
    <row r="953" ht="14.25" customHeight="1" s="54"/>
    <row r="954" ht="14.25" customHeight="1" s="54"/>
    <row r="955" ht="14.25" customHeight="1" s="54"/>
    <row r="956" ht="14.25" customHeight="1" s="54"/>
    <row r="957" ht="14.25" customHeight="1" s="54"/>
    <row r="958" ht="14.25" customHeight="1" s="54"/>
    <row r="959" ht="14.25" customHeight="1" s="54"/>
    <row r="960" ht="14.25" customHeight="1" s="54"/>
    <row r="961" ht="14.25" customHeight="1" s="54"/>
    <row r="962" ht="14.25" customHeight="1" s="54"/>
    <row r="963" ht="14.25" customHeight="1" s="54"/>
    <row r="964" ht="14.25" customHeight="1" s="54"/>
    <row r="965" ht="14.25" customHeight="1" s="54"/>
    <row r="966" ht="14.25" customHeight="1" s="54"/>
    <row r="967" ht="14.25" customHeight="1" s="54"/>
    <row r="968" ht="14.25" customHeight="1" s="54"/>
    <row r="969" ht="14.25" customHeight="1" s="54"/>
    <row r="970" ht="14.25" customHeight="1" s="54"/>
    <row r="971" ht="14.25" customHeight="1" s="54"/>
    <row r="972" ht="14.25" customHeight="1" s="54"/>
    <row r="973" ht="14.25" customHeight="1" s="54"/>
    <row r="974" ht="14.25" customHeight="1" s="54"/>
    <row r="975" ht="14.25" customHeight="1" s="54"/>
    <row r="976" ht="14.25" customHeight="1" s="54"/>
    <row r="977" ht="14.25" customHeight="1" s="54"/>
    <row r="978" ht="14.25" customHeight="1" s="54"/>
  </sheetData>
  <mergeCells count="18">
    <mergeCell ref="A13:G13"/>
    <mergeCell ref="A14:G14"/>
    <mergeCell ref="A1:G1"/>
    <mergeCell ref="A9:G9"/>
    <mergeCell ref="A18:G18"/>
    <mergeCell ref="A8:G8"/>
    <mergeCell ref="A3:G3"/>
    <mergeCell ref="A6:G6"/>
    <mergeCell ref="A12:G12"/>
    <mergeCell ref="A4:G4"/>
    <mergeCell ref="A20:G20"/>
    <mergeCell ref="A16:G16"/>
    <mergeCell ref="A15:G15"/>
    <mergeCell ref="A7:G7"/>
    <mergeCell ref="A19:G19"/>
    <mergeCell ref="A11:G11"/>
    <mergeCell ref="A10:G10"/>
    <mergeCell ref="A5:G5"/>
  </mergeCells>
  <dataValidations count="3">
    <dataValidation sqref="C22:C30" showDropDown="0" showInputMessage="0" showErrorMessage="1" allowBlank="1" type="list">
      <formula1>"Mobile iOS,Mobile Android,Desktop Chrome,Desktop Firefox,Desktop Edge"</formula1>
    </dataValidation>
    <dataValidation sqref="D22:D30" showDropDown="0" showInputMessage="0" showErrorMessage="0" allowBlank="1" type="list">
      <formula1>"Not started,In progress,Complete"</formula1>
    </dataValidation>
    <dataValidation sqref="B22:B30" showDropDown="0" showInputMessage="0" showErrorMessage="1" allowBlank="1" type="list">
      <formula1>"Participant (grades 6–12),Parent — elementary (2–5 child),Parent — viewer (6–12 student),Supervisor,Admin (single organization),Super Admin (whole program)"</formula1>
    </dataValidation>
  </dataValidations>
  <hyperlinks>
    <hyperlink xmlns:r="http://schemas.openxmlformats.org/officeDocument/2006/relationships" ref="A19" r:id="rId1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</cols>
  <sheetData>
    <row r="1" ht="26" customHeight="1" s="54">
      <c r="A1" s="56" t="inlineStr">
        <is>
          <t>Test cases — Participant (grades 6–12)</t>
        </is>
      </c>
      <c r="B1" s="57" t="n"/>
      <c r="C1" s="57" t="n"/>
      <c r="D1" s="57" t="n"/>
      <c r="E1" s="57" t="n"/>
      <c r="F1" s="57" t="n"/>
      <c r="G1" s="57" t="n"/>
      <c r="H1" s="57" t="n"/>
    </row>
    <row r="2" ht="30" customHeight="1" s="54">
      <c r="E2" s="58" t="inlineStr">
        <is>
          <t>Abdul Malik
Platform: ?</t>
        </is>
      </c>
      <c r="F2" s="59" t="n"/>
      <c r="G2" s="58" t="inlineStr">
        <is>
          <t>Sameen Khan
Platform: ?</t>
        </is>
      </c>
      <c r="H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</row>
    <row r="11" ht="20" customHeight="1" s="54">
      <c r="A11" s="61" t="inlineStr">
        <is>
          <t>Participant (grades 6–12)</t>
        </is>
      </c>
      <c r="B11" s="59" t="n"/>
      <c r="C11" s="59" t="n"/>
      <c r="D11" s="59" t="n"/>
      <c r="E11" s="59" t="n"/>
      <c r="F11" s="59" t="n"/>
      <c r="G11" s="59" t="n"/>
      <c r="H11" s="59" t="n"/>
    </row>
    <row r="12" ht="42" customHeight="1" s="54">
      <c r="A12" s="62" t="inlineStr">
        <is>
          <t>PT1</t>
        </is>
      </c>
      <c r="B12" s="63" t="inlineStr">
        <is>
          <t>As a student (6–12), I want to self-register with the form.</t>
        </is>
      </c>
      <c r="C12" s="63" t="inlineStr">
        <is>
          <t>Create account → student option; fill name, email, password, grade, school, parent email; submit.</t>
        </is>
      </c>
      <c r="D12" s="63" t="inlineStr">
        <is>
          <t>Account created; signed in on the participant dashboard.</t>
        </is>
      </c>
      <c r="E12" s="64" t="n"/>
      <c r="F12" s="64" t="n"/>
      <c r="G12" s="64" t="n"/>
      <c r="H12" s="64" t="n"/>
    </row>
    <row r="13" ht="42" customHeight="1" s="54">
      <c r="A13" s="62" t="inlineStr">
        <is>
          <t>PT2</t>
        </is>
      </c>
      <c r="B13" s="63" t="inlineStr">
        <is>
          <t>As a student, a join code is required when I pick an organization.</t>
        </is>
      </c>
      <c r="C13" s="63" t="inlineStr">
        <is>
          <t>Choose an organization affiliation; the join-code field appears and is required.</t>
        </is>
      </c>
      <c r="D13" s="63" t="inlineStr">
        <is>
          <t>Can't submit without a code; a valid code enrolls me in that org, a bad one is rejected. (Community/no-org path needs no code.)</t>
        </is>
      </c>
      <c r="E13" s="64" t="n"/>
      <c r="F13" s="64" t="n"/>
      <c r="G13" s="64" t="n"/>
      <c r="H13" s="64" t="n"/>
    </row>
    <row r="14" ht="42" customHeight="1" s="54">
      <c r="A14" s="62" t="inlineStr">
        <is>
          <t>PT3</t>
        </is>
      </c>
      <c r="B14" s="63" t="inlineStr">
        <is>
          <t>As a participant, I want the correct 7 left-menu tabs.</t>
        </is>
      </c>
      <c r="C14" s="63" t="inlineStr">
        <is>
          <t>Look at the left menu.</t>
        </is>
      </c>
      <c r="D14" s="63" t="inlineStr">
        <is>
          <t>Exactly: Dashboard, Sign Up, Submit My Hours, Leaderboard, My Reports, My Profile, Help.</t>
        </is>
      </c>
      <c r="E14" s="64" t="n"/>
      <c r="F14" s="64" t="n"/>
      <c r="G14" s="64" t="n"/>
      <c r="H14" s="64" t="n"/>
    </row>
    <row r="15" ht="42" customHeight="1" s="54">
      <c r="A15" s="62" t="inlineStr">
        <is>
          <t>PT4</t>
        </is>
      </c>
      <c r="B15" s="63" t="inlineStr">
        <is>
          <t>As a participant, I want a dashboard of my hours and next medal.</t>
        </is>
      </c>
      <c r="C15" s="63" t="inlineStr">
        <is>
          <t>Open the dashboard.</t>
        </is>
      </c>
      <c r="D15" s="63" t="inlineStr">
        <is>
          <t>Approved-hours ring, next medal + hours to go, and quick actions.</t>
        </is>
      </c>
      <c r="E15" s="64" t="n"/>
      <c r="F15" s="64" t="n"/>
      <c r="G15" s="64" t="n"/>
      <c r="H15" s="64" t="n"/>
    </row>
    <row r="16" ht="42" customHeight="1" s="54">
      <c r="A16" s="62" t="inlineStr">
        <is>
          <t>PT5</t>
        </is>
      </c>
      <c r="B16" s="63" t="inlineStr">
        <is>
          <t>As a participant, I want to find and sign up for an opportunity.</t>
        </is>
      </c>
      <c r="C16" s="63" t="inlineStr">
        <is>
          <t>Sign Up → Upcoming events → open one → Sign Up.</t>
        </is>
      </c>
      <c r="D16" s="63" t="inlineStr">
        <is>
          <t>Registered; confirmation; it moves to My sign-ups.</t>
        </is>
      </c>
      <c r="E16" s="64" t="n"/>
      <c r="F16" s="64" t="n"/>
      <c r="G16" s="64" t="n"/>
      <c r="H16" s="64" t="n"/>
    </row>
    <row r="17" ht="42" customHeight="1" s="54">
      <c r="A17" s="62" t="inlineStr">
        <is>
          <t>PT6</t>
        </is>
      </c>
      <c r="B17" s="63" t="inlineStr">
        <is>
          <t>As a participant, I want to add a signed-up event to my calendar.</t>
        </is>
      </c>
      <c r="C17" s="63" t="inlineStr">
        <is>
          <t>My sign-ups → add to calendar.</t>
        </is>
      </c>
      <c r="D17" s="63" t="inlineStr">
        <is>
          <t>An .ics downloads with correct title/date/time/location.</t>
        </is>
      </c>
      <c r="E17" s="64" t="n"/>
      <c r="F17" s="64" t="n"/>
      <c r="G17" s="64" t="n"/>
      <c r="H17" s="64" t="n"/>
    </row>
    <row r="18" ht="42" customHeight="1" s="54">
      <c r="A18" s="62" t="inlineStr">
        <is>
          <t>PT7</t>
        </is>
      </c>
      <c r="B18" s="63" t="inlineStr">
        <is>
          <t>As a participant, I want to see my past events.</t>
        </is>
      </c>
      <c r="C18" s="63" t="inlineStr">
        <is>
          <t>Sign Up → Past tab.</t>
        </is>
      </c>
      <c r="D18" s="63" t="inlineStr">
        <is>
          <t>Past events are listed.</t>
        </is>
      </c>
      <c r="E18" s="64" t="n"/>
      <c r="F18" s="64" t="n"/>
      <c r="G18" s="64" t="n"/>
      <c r="H18" s="64" t="n"/>
    </row>
    <row r="19" ht="42" customHeight="1" s="54">
      <c r="A19" s="62" t="inlineStr">
        <is>
          <t>PT8</t>
        </is>
      </c>
      <c r="B19" s="63" t="inlineStr">
        <is>
          <t>As a participant, I want to search opportunities.</t>
        </is>
      </c>
      <c r="C19" s="63" t="inlineStr">
        <is>
          <t>Use the search box (name/description/location).</t>
        </is>
      </c>
      <c r="D19" s="63" t="inlineStr">
        <is>
          <t>List filters to matches.</t>
        </is>
      </c>
      <c r="E19" s="64" t="n"/>
      <c r="F19" s="64" t="n"/>
      <c r="G19" s="64" t="n"/>
      <c r="H19" s="64" t="n"/>
    </row>
    <row r="20" ht="42" customHeight="1" s="54">
      <c r="A20" s="62" t="inlineStr">
        <is>
          <t>PT9</t>
        </is>
      </c>
      <c r="B20" s="63" t="inlineStr">
        <is>
          <t>As a participant, I want to withdraw from an event.</t>
        </is>
      </c>
      <c r="C20" s="63" t="inlineStr">
        <is>
          <t>My sign-ups → red Withdraw → confirm.</t>
        </is>
      </c>
      <c r="D20" s="63" t="inlineStr">
        <is>
          <t>Removed; can re-sign up later if space.</t>
        </is>
      </c>
      <c r="E20" s="64" t="n"/>
      <c r="F20" s="64" t="n"/>
      <c r="G20" s="64" t="n"/>
      <c r="H20" s="64" t="n"/>
    </row>
    <row r="21" ht="42" customHeight="1" s="54">
      <c r="A21" s="62" t="inlineStr">
        <is>
          <t>PT10</t>
        </is>
      </c>
      <c r="B21" s="63" t="inlineStr">
        <is>
          <t>As a participant, I can only join grade-appropriate events.</t>
        </is>
      </c>
      <c r="C21" s="63" t="inlineStr">
        <is>
          <t>Try an event outside your grade range.</t>
        </is>
      </c>
      <c r="D21" s="63" t="inlineStr">
        <is>
          <t>Not available / blocked with a grade message.</t>
        </is>
      </c>
      <c r="E21" s="64" t="n"/>
      <c r="F21" s="64" t="n"/>
      <c r="G21" s="64" t="n"/>
      <c r="H21" s="64" t="n"/>
    </row>
    <row r="22" ht="42" customHeight="1" s="54">
      <c r="A22" s="62" t="inlineStr">
        <is>
          <t>PT11</t>
        </is>
      </c>
      <c r="B22" s="63" t="inlineStr">
        <is>
          <t>As a participant, I only see my org's or open events.</t>
        </is>
      </c>
      <c r="C22" s="63" t="inlineStr">
        <is>
          <t>Browse opportunities.</t>
        </is>
      </c>
      <c r="D22" s="63" t="inlineStr">
        <is>
          <t>Open-to-all show; other orgs' private events don't appear.</t>
        </is>
      </c>
      <c r="E22" s="64" t="n"/>
      <c r="F22" s="64" t="n"/>
      <c r="G22" s="64" t="n"/>
      <c r="H22" s="64" t="n"/>
    </row>
    <row r="23" ht="42" customHeight="1" s="54">
      <c r="A23" s="62" t="inlineStr">
        <is>
          <t>PT12</t>
        </is>
      </c>
      <c r="B23" s="63" t="inlineStr">
        <is>
          <t>As a participant, I want to check in on event day.</t>
        </is>
      </c>
      <c r="C23" s="63" t="inlineStr">
        <is>
          <t>On the day, within the window, use the Check-In panel.</t>
        </is>
      </c>
      <c r="D23" s="63" t="inlineStr">
        <is>
          <t>Check-in succeeds; before the window shows 'Not open yet'.</t>
        </is>
      </c>
      <c r="E23" s="64" t="n"/>
      <c r="F23" s="64" t="n"/>
      <c r="G23" s="64" t="n"/>
      <c r="H23" s="64" t="n"/>
    </row>
    <row r="24" ht="42" customHeight="1" s="54">
      <c r="A24" s="62" t="inlineStr">
        <is>
          <t>PT13</t>
        </is>
      </c>
      <c r="B24" s="63" t="inlineStr">
        <is>
          <t>As a participant, I want to submit hours after an event.</t>
        </is>
      </c>
      <c r="C24" s="63" t="inlineStr">
        <is>
          <t>Submit My Hours → Post-event hours → enter hours → submit.</t>
        </is>
      </c>
      <c r="D24" s="63" t="inlineStr">
        <is>
          <t>Sent for approval; shows 'Waiting for review'.</t>
        </is>
      </c>
      <c r="E24" s="64" t="n"/>
      <c r="F24" s="64" t="n"/>
      <c r="G24" s="64" t="n"/>
      <c r="H24" s="64" t="n"/>
    </row>
    <row r="25" ht="42" customHeight="1" s="54">
      <c r="A25" s="62" t="inlineStr">
        <is>
          <t>PT14</t>
        </is>
      </c>
      <c r="B25" s="63" t="inlineStr">
        <is>
          <t>As a participant who didn't sign up, I want to submit hours.</t>
        </is>
      </c>
      <c r="C25" s="63" t="inlineStr">
        <is>
          <t>Post-event hours → 'Attended without signing up?' → pick event → submit.</t>
        </is>
      </c>
      <c r="D25" s="63" t="inlineStr">
        <is>
          <t>Section always visible; eligible past events claimable, else empty-state note.</t>
        </is>
      </c>
      <c r="E25" s="64" t="n"/>
      <c r="F25" s="64" t="n"/>
      <c r="G25" s="64" t="n"/>
      <c r="H25" s="64" t="n"/>
    </row>
    <row r="26" ht="42" customHeight="1" s="54">
      <c r="A26" s="62" t="inlineStr">
        <is>
          <t>PT15</t>
        </is>
      </c>
      <c r="B26" s="63" t="inlineStr">
        <is>
          <t>As a participant, I want to resubmit rejected hours.</t>
        </is>
      </c>
      <c r="C26" s="63" t="inlineStr">
        <is>
          <t>Open a rejected item → resubmit corrected hours.</t>
        </is>
      </c>
      <c r="D26" s="63" t="inlineStr">
        <is>
          <t>Returns to 'Waiting for review'.</t>
        </is>
      </c>
      <c r="E26" s="64" t="n"/>
      <c r="F26" s="64" t="n"/>
      <c r="G26" s="64" t="n"/>
      <c r="H26" s="64" t="n"/>
    </row>
    <row r="27" ht="42" customHeight="1" s="54">
      <c r="A27" s="62" t="inlineStr">
        <is>
          <t>PT16</t>
        </is>
      </c>
      <c r="B27" s="63" t="inlineStr">
        <is>
          <t>As a participant, I want to log outside volunteering.</t>
        </is>
      </c>
      <c r="C27" s="63" t="inlineStr">
        <is>
          <t>Submit My Hours → Outside volunteering → org, EIN, date, hours, guidelines → submit.</t>
        </is>
      </c>
      <c r="D27" s="63" t="inlineStr">
        <is>
          <t>Recorded as pending external hours.</t>
        </is>
      </c>
      <c r="E27" s="64" t="n"/>
      <c r="F27" s="64" t="n"/>
      <c r="G27" s="64" t="n"/>
      <c r="H27" s="64" t="n"/>
    </row>
    <row r="28" ht="42" customHeight="1" s="54">
      <c r="A28" s="62" t="inlineStr">
        <is>
          <t>PT17</t>
        </is>
      </c>
      <c r="B28" s="63" t="inlineStr">
        <is>
          <t>As a participant, proof is required over 5 external hours.</t>
        </is>
      </c>
      <c r="C28" s="63" t="inlineStr">
        <is>
          <t>Submit &gt;5h without proof, then with proof.</t>
        </is>
      </c>
      <c r="D28" s="63" t="inlineStr">
        <is>
          <t>Blocked without proof; submits with a photo/letter.</t>
        </is>
      </c>
      <c r="E28" s="64" t="n"/>
      <c r="F28" s="64" t="n"/>
      <c r="G28" s="64" t="n"/>
      <c r="H28" s="64" t="n"/>
    </row>
    <row r="29" ht="42" customHeight="1" s="54">
      <c r="A29" s="62" t="inlineStr">
        <is>
          <t>PT18</t>
        </is>
      </c>
      <c r="B29" s="63" t="inlineStr">
        <is>
          <t>As a participant, I want an email when my hours are reviewed.</t>
        </is>
      </c>
      <c r="C29" s="63" t="inlineStr">
        <is>
          <t>Have a supervisor approve then reject one of your submissions.</t>
        </is>
      </c>
      <c r="D29" s="63" t="inlineStr">
        <is>
          <t>You (and your parent) receive approved / needs-attention emails.</t>
        </is>
      </c>
      <c r="E29" s="64" t="n"/>
      <c r="F29" s="64" t="n"/>
      <c r="G29" s="64" t="n"/>
      <c r="H29" s="64" t="n"/>
    </row>
    <row r="30" ht="42" customHeight="1" s="54">
      <c r="A30" s="62" t="inlineStr">
        <is>
          <t>PT19</t>
        </is>
      </c>
      <c r="B30" s="63" t="inlineStr">
        <is>
          <t>As a participant, I want a reports view.</t>
        </is>
      </c>
      <c r="C30" s="63" t="inlineStr">
        <is>
          <t>Open My Reports.</t>
        </is>
      </c>
      <c r="D30" s="63" t="inlineStr">
        <is>
          <t>Total/in-program/external/waiting hours and medal progress bars.</t>
        </is>
      </c>
      <c r="E30" s="64" t="n"/>
      <c r="F30" s="64" t="n"/>
      <c r="G30" s="64" t="n"/>
      <c r="H30" s="64" t="n"/>
    </row>
    <row r="31" ht="42" customHeight="1" s="54">
      <c r="A31" s="62" t="inlineStr">
        <is>
          <t>PT20</t>
        </is>
      </c>
      <c r="B31" s="63" t="inlineStr">
        <is>
          <t>As a participant, I want an official service record.</t>
        </is>
      </c>
      <c r="C31" s="63" t="inlineStr">
        <is>
          <t>My Reports → Verified service record.</t>
        </is>
      </c>
      <c r="D31" s="63" t="inlineStr">
        <is>
          <t>Itemized printable statement; Save-as-PDF works.</t>
        </is>
      </c>
      <c r="E31" s="64" t="n"/>
      <c r="F31" s="64" t="n"/>
      <c r="G31" s="64" t="n"/>
      <c r="H31" s="64" t="n"/>
    </row>
    <row r="32" ht="42" customHeight="1" s="54">
      <c r="A32" s="62" t="inlineStr">
        <is>
          <t>PT21</t>
        </is>
      </c>
      <c r="B32" s="63" t="inlineStr">
        <is>
          <t>As a participant, I want leaderboard privacy.</t>
        </is>
      </c>
      <c r="C32" s="63" t="inlineStr">
        <is>
          <t>Set alias/hide in My Profile → view leaderboard.</t>
        </is>
      </c>
      <c r="D32" s="63" t="inlineStr">
        <is>
          <t>Shows alias or 'Anonymous' to others; you see yourself.</t>
        </is>
      </c>
      <c r="E32" s="64" t="n"/>
      <c r="F32" s="64" t="n"/>
      <c r="G32" s="64" t="n"/>
      <c r="H32" s="64" t="n"/>
    </row>
    <row r="33" ht="42" customHeight="1" s="54">
      <c r="A33" s="62" t="inlineStr">
        <is>
          <t>PT22</t>
        </is>
      </c>
      <c r="B33" s="63" t="inlineStr">
        <is>
          <t>As a participant, I want to edit my profile.</t>
        </is>
      </c>
      <c r="C33" s="63" t="inlineStr">
        <is>
          <t>My Profile → change name/grade/school/affiliation → save.</t>
        </is>
      </c>
      <c r="D33" s="63" t="inlineStr">
        <is>
          <t>Saves; switching to a code-protected org needs a valid code.</t>
        </is>
      </c>
      <c r="E33" s="64" t="n"/>
      <c r="F33" s="64" t="n"/>
      <c r="G33" s="64" t="n"/>
      <c r="H33" s="64" t="n"/>
    </row>
    <row r="34" ht="42" customHeight="1" s="54">
      <c r="A34" s="62" t="inlineStr">
        <is>
          <t>PT23</t>
        </is>
      </c>
      <c r="B34" s="63" t="inlineStr">
        <is>
          <t>As a participant, I want Help incl. join codes.</t>
        </is>
      </c>
      <c r="C34" s="63" t="inlineStr">
        <is>
          <t>Open Help; expand entries.</t>
        </is>
      </c>
      <c r="D34" s="63" t="inlineStr">
        <is>
          <t>Covers sign-up, hours, join codes, and 'email mcc@medinaacademy.org'.</t>
        </is>
      </c>
      <c r="E34" s="64" t="n"/>
      <c r="F34" s="64" t="n"/>
      <c r="G34" s="64" t="n"/>
      <c r="H34" s="64" t="n"/>
    </row>
    <row r="35" ht="42" customHeight="1" s="54">
      <c r="A35" s="62" t="inlineStr">
        <is>
          <t>PT24</t>
        </is>
      </c>
      <c r="B35" s="63" t="inlineStr">
        <is>
          <t>As a participant, I want the recycling ribbon on every page.</t>
        </is>
      </c>
      <c r="C35" s="63" t="inlineStr">
        <is>
          <t>Navigate around signed in.</t>
        </is>
      </c>
      <c r="D35" s="63" t="inlineStr">
        <is>
          <t>Green ribbon with cans + 100,000 countdown on every page.</t>
        </is>
      </c>
      <c r="E35" s="64" t="n"/>
      <c r="F35" s="64" t="n"/>
      <c r="G35" s="64" t="n"/>
      <c r="H35" s="64" t="n"/>
    </row>
    <row r="36" ht="42" customHeight="1" s="54">
      <c r="A36" s="62" t="inlineStr">
        <is>
          <t>PT25</t>
        </is>
      </c>
      <c r="B36" s="63" t="inlineStr">
        <is>
          <t>As a participant, when a supervisor/admin adds me to an event, I'm notified and it shows in my schedule.</t>
        </is>
      </c>
      <c r="C36" s="63" t="inlineStr">
        <is>
          <t>Have a supervisor or Super Admin add your account email to an event → then open your dashboard/My sign-ups.</t>
        </is>
      </c>
      <c r="D36" s="63" t="inlineStr">
        <is>
          <t>You (and your parent, if a parent email is on file) receive an 'added to &lt;event&gt;' email; the event appears in your upcoming sign-ups.</t>
        </is>
      </c>
      <c r="E36" s="64" t="n"/>
      <c r="F36" s="64" t="n"/>
      <c r="G36" s="64" t="n"/>
      <c r="H36" s="64" t="n"/>
    </row>
    <row r="37" ht="20" customHeight="1" s="54">
      <c r="A37" s="61" t="inlineStr">
        <is>
          <t>Cross-cutting</t>
        </is>
      </c>
      <c r="B37" s="59" t="n"/>
      <c r="C37" s="59" t="n"/>
      <c r="D37" s="59" t="n"/>
      <c r="E37" s="59" t="n"/>
      <c r="F37" s="59" t="n"/>
      <c r="G37" s="59" t="n"/>
      <c r="H37" s="59" t="n"/>
    </row>
    <row r="38" ht="42" customHeight="1" s="54">
      <c r="A38" s="62" t="inlineStr">
        <is>
          <t>X1</t>
        </is>
      </c>
      <c r="B38" s="63" t="inlineStr">
        <is>
          <t>As a phone user, I want a usable mobile layout.</t>
        </is>
      </c>
      <c r="C38" s="63" t="inlineStr">
        <is>
          <t>Open at phone width; use the menu drawer.</t>
        </is>
      </c>
      <c r="D38" s="63" t="inlineStr">
        <is>
          <t>Layout adapts; drawer opens/closes; no horizontal scroll.</t>
        </is>
      </c>
      <c r="E38" s="64" t="n"/>
      <c r="F38" s="64" t="n"/>
      <c r="G38" s="64" t="n"/>
      <c r="H38" s="64" t="n"/>
    </row>
    <row r="39" ht="42" customHeight="1" s="54">
      <c r="A39" s="62" t="inlineStr">
        <is>
          <t>X2</t>
        </is>
      </c>
      <c r="B39" s="63" t="inlineStr">
        <is>
          <t>As a visitor, I want the recycling ribbon on the login page.</t>
        </is>
      </c>
      <c r="C39" s="63" t="inlineStr">
        <is>
          <t>Open login signed out.</t>
        </is>
      </c>
      <c r="D39" s="63" t="inlineStr">
        <is>
          <t>Green ribbon shows on login.</t>
        </is>
      </c>
      <c r="E39" s="64" t="n"/>
      <c r="F39" s="64" t="n"/>
      <c r="G39" s="64" t="n"/>
      <c r="H39" s="64" t="n"/>
    </row>
  </sheetData>
  <mergeCells count="6">
    <mergeCell ref="A4:H4"/>
    <mergeCell ref="G2:H2"/>
    <mergeCell ref="E2:F2"/>
    <mergeCell ref="A11:H11"/>
    <mergeCell ref="A1:H1"/>
    <mergeCell ref="A37:H37"/>
  </mergeCells>
  <conditionalFormatting sqref="E4:E39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39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dataValidations count="1">
    <dataValidation sqref="E4:E39 G4:G39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  <col width="13" customWidth="1" style="54" min="9" max="9"/>
    <col width="30" customWidth="1" style="54" min="10" max="10"/>
  </cols>
  <sheetData>
    <row r="1" ht="26" customHeight="1" s="54">
      <c r="A1" s="56" t="inlineStr">
        <is>
          <t>Test cases — Parent — elementary (2–5 child)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</row>
    <row r="2" ht="30" customHeight="1" s="54">
      <c r="E2" s="58" t="inlineStr">
        <is>
          <t>Noreen Sultana
Platform: ?</t>
        </is>
      </c>
      <c r="F2" s="59" t="n"/>
      <c r="G2" s="58" t="inlineStr">
        <is>
          <t>Tester 2
Platform: ?</t>
        </is>
      </c>
      <c r="H2" s="59" t="n"/>
      <c r="I2" s="58" t="inlineStr">
        <is>
          <t>Tester 3
Platform: ?</t>
        </is>
      </c>
      <c r="J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  <c r="I3" s="60" t="inlineStr">
        <is>
          <t>Result</t>
        </is>
      </c>
      <c r="J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  <c r="I4" s="59" t="n"/>
      <c r="J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  <c r="I5" s="64" t="n"/>
      <c r="J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  <c r="I6" s="64" t="n"/>
      <c r="J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  <c r="I7" s="64" t="n"/>
      <c r="J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  <c r="I8" s="64" t="n"/>
      <c r="J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  <c r="I9" s="64" t="n"/>
      <c r="J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  <c r="I10" s="64" t="n"/>
      <c r="J10" s="64" t="n"/>
    </row>
    <row r="11" ht="20" customHeight="1" s="54">
      <c r="A11" s="61" t="inlineStr">
        <is>
          <t>Parent — elementary (grades 2–5 child)</t>
        </is>
      </c>
      <c r="B11" s="59" t="n"/>
      <c r="C11" s="59" t="n"/>
      <c r="D11" s="59" t="n"/>
      <c r="E11" s="59" t="n"/>
      <c r="F11" s="59" t="n"/>
      <c r="G11" s="59" t="n"/>
      <c r="H11" s="59" t="n"/>
      <c r="I11" s="59" t="n"/>
      <c r="J11" s="59" t="n"/>
    </row>
    <row r="12" ht="42" customHeight="1" s="54">
      <c r="A12" s="62" t="inlineStr">
        <is>
          <t>PE1</t>
        </is>
      </c>
      <c r="B12" s="63" t="inlineStr">
        <is>
          <t>As a parent, I want to register to manage my grade 2–5 child.</t>
        </is>
      </c>
      <c r="C12" s="63" t="inlineStr">
        <is>
          <t>Create account → parent of a 2–5 child.</t>
        </is>
      </c>
      <c r="D12" s="63" t="inlineStr">
        <is>
          <t>Parent account created.</t>
        </is>
      </c>
      <c r="E12" s="64" t="n"/>
      <c r="F12" s="64" t="n"/>
      <c r="G12" s="64" t="n"/>
      <c r="H12" s="64" t="n"/>
      <c r="I12" s="64" t="n"/>
      <c r="J12" s="64" t="n"/>
    </row>
    <row r="13" ht="42" customHeight="1" s="54">
      <c r="A13" s="62" t="inlineStr">
        <is>
          <t>PE2</t>
        </is>
      </c>
      <c r="B13" s="63" t="inlineStr">
        <is>
          <t>As an elementary parent, I want the right menu tabs.</t>
        </is>
      </c>
      <c r="C13" s="63" t="inlineStr">
        <is>
          <t>Look at the left menu.</t>
        </is>
      </c>
      <c r="D13" s="63" t="inlineStr">
        <is>
          <t>Dashboard and Find Opportunities (Help in footer).</t>
        </is>
      </c>
      <c r="E13" s="64" t="n"/>
      <c r="F13" s="64" t="n"/>
      <c r="G13" s="64" t="n"/>
      <c r="H13" s="64" t="n"/>
      <c r="I13" s="64" t="n"/>
      <c r="J13" s="64" t="n"/>
    </row>
    <row r="14" ht="42" customHeight="1" s="54">
      <c r="A14" s="62" t="inlineStr">
        <is>
          <t>PE3</t>
        </is>
      </c>
      <c r="B14" s="63" t="inlineStr">
        <is>
          <t>As a parent, I want to add a managed child (2–5).</t>
        </is>
      </c>
      <c r="C14" s="63" t="inlineStr">
        <is>
          <t>Add child with name and grade (join code if required).</t>
        </is>
      </c>
      <c r="D14" s="63" t="inlineStr">
        <is>
          <t>Child added; no separate login.</t>
        </is>
      </c>
      <c r="E14" s="64" t="n"/>
      <c r="F14" s="64" t="n"/>
      <c r="G14" s="64" t="n"/>
      <c r="H14" s="64" t="n"/>
      <c r="I14" s="64" t="n"/>
      <c r="J14" s="64" t="n"/>
    </row>
    <row r="15" ht="42" customHeight="1" s="54">
      <c r="A15" s="62" t="inlineStr">
        <is>
          <t>PE4</t>
        </is>
      </c>
      <c r="B15" s="63" t="inlineStr">
        <is>
          <t>As a parent with several kids, I want to switch child.</t>
        </is>
      </c>
      <c r="C15" s="63" t="inlineStr">
        <is>
          <t>Use the child picker.</t>
        </is>
      </c>
      <c r="D15" s="63" t="inlineStr">
        <is>
          <t>Selected child's context is used.</t>
        </is>
      </c>
      <c r="E15" s="64" t="n"/>
      <c r="F15" s="64" t="n"/>
      <c r="G15" s="64" t="n"/>
      <c r="H15" s="64" t="n"/>
      <c r="I15" s="64" t="n"/>
      <c r="J15" s="64" t="n"/>
    </row>
    <row r="16" ht="42" customHeight="1" s="54">
      <c r="A16" s="62" t="inlineStr">
        <is>
          <t>PE5</t>
        </is>
      </c>
      <c r="B16" s="63" t="inlineStr">
        <is>
          <t>As a parent, I want to sign my child up.</t>
        </is>
      </c>
      <c r="C16" s="63" t="inlineStr">
        <is>
          <t>Find Opportunities → pick child → open event → sign up.</t>
        </is>
      </c>
      <c r="D16" s="63" t="inlineStr">
        <is>
          <t>Child registered; appears on dashboard with calendar.</t>
        </is>
      </c>
      <c r="E16" s="64" t="n"/>
      <c r="F16" s="64" t="n"/>
      <c r="G16" s="64" t="n"/>
      <c r="H16" s="64" t="n"/>
      <c r="I16" s="64" t="n"/>
      <c r="J16" s="64" t="n"/>
    </row>
    <row r="17" ht="42" customHeight="1" s="54">
      <c r="A17" s="62" t="inlineStr">
        <is>
          <t>PE6</t>
        </is>
      </c>
      <c r="B17" s="63" t="inlineStr">
        <is>
          <t>As a parent, child sign-up respects grade/org limits.</t>
        </is>
      </c>
      <c r="C17" s="63" t="inlineStr">
        <is>
          <t>Try an ineligible event.</t>
        </is>
      </c>
      <c r="D17" s="63" t="inlineStr">
        <is>
          <t>Hidden or blocked with a message.</t>
        </is>
      </c>
      <c r="E17" s="64" t="n"/>
      <c r="F17" s="64" t="n"/>
      <c r="G17" s="64" t="n"/>
      <c r="H17" s="64" t="n"/>
      <c r="I17" s="64" t="n"/>
      <c r="J17" s="64" t="n"/>
    </row>
    <row r="18" ht="42" customHeight="1" s="54">
      <c r="A18" s="62" t="inlineStr">
        <is>
          <t>PE7</t>
        </is>
      </c>
      <c r="B18" s="63" t="inlineStr">
        <is>
          <t>As a parent, I want to see my child's schedule.</t>
        </is>
      </c>
      <c r="C18" s="63" t="inlineStr">
        <is>
          <t>Open the dashboard.</t>
        </is>
      </c>
      <c r="D18" s="63" t="inlineStr">
        <is>
          <t>Child's upcoming events with add-to-calendar; new sign-ups flagged.</t>
        </is>
      </c>
      <c r="E18" s="64" t="n"/>
      <c r="F18" s="64" t="n"/>
      <c r="G18" s="64" t="n"/>
      <c r="H18" s="64" t="n"/>
      <c r="I18" s="64" t="n"/>
      <c r="J18" s="64" t="n"/>
    </row>
    <row r="19" ht="42" customHeight="1" s="54">
      <c r="A19" s="62" t="inlineStr">
        <is>
          <t>PE8</t>
        </is>
      </c>
      <c r="B19" s="63" t="inlineStr">
        <is>
          <t>As a parent, I want to invite a co-guardian.</t>
        </is>
      </c>
      <c r="C19" s="63" t="inlineStr">
        <is>
          <t>Invite a co-guardian by email.</t>
        </is>
      </c>
      <c r="D19" s="63" t="inlineStr">
        <is>
          <t>Invite email sent; on registering with that email they share access.</t>
        </is>
      </c>
      <c r="E19" s="64" t="n"/>
      <c r="F19" s="64" t="n"/>
      <c r="G19" s="64" t="n"/>
      <c r="H19" s="64" t="n"/>
      <c r="I19" s="64" t="n"/>
      <c r="J19" s="64" t="n"/>
    </row>
    <row r="20" ht="42" customHeight="1" s="54">
      <c r="A20" s="62" t="inlineStr">
        <is>
          <t>PE9</t>
        </is>
      </c>
      <c r="B20" s="63" t="inlineStr">
        <is>
          <t>As a parent, I want notice when my child signs up.</t>
        </is>
      </c>
      <c r="C20" s="63" t="inlineStr">
        <is>
          <t>Sign a child up (or have the other guardian do it).</t>
        </is>
      </c>
      <c r="D20" s="63" t="inlineStr">
        <is>
          <t>A notification/confirmation is produced.</t>
        </is>
      </c>
      <c r="E20" s="64" t="n"/>
      <c r="F20" s="64" t="n"/>
      <c r="G20" s="64" t="n"/>
      <c r="H20" s="64" t="n"/>
      <c r="I20" s="64" t="n"/>
      <c r="J20" s="64" t="n"/>
    </row>
    <row r="21" ht="42" customHeight="1" s="54">
      <c r="A21" s="62" t="inlineStr">
        <is>
          <t>PE10</t>
        </is>
      </c>
      <c r="B21" s="63" t="inlineStr">
        <is>
          <t>As a parent, I want to submit my child's hours after an event (child has no login).</t>
        </is>
      </c>
      <c r="C21" s="63" t="inlineStr">
        <is>
          <t>Dashboard → the child's 'Submit hours (past events)' → enter hours → Submit.</t>
        </is>
      </c>
      <c r="D21" s="63" t="inlineStr">
        <is>
          <t>Hours go to the supervisor for approval; status shows 'Waiting for review'.</t>
        </is>
      </c>
      <c r="E21" s="64" t="n"/>
      <c r="F21" s="64" t="n"/>
      <c r="G21" s="64" t="n"/>
      <c r="H21" s="64" t="n"/>
      <c r="I21" s="64" t="n"/>
      <c r="J21" s="64" t="n"/>
    </row>
    <row r="22" ht="42" customHeight="1" s="54">
      <c r="A22" s="62" t="inlineStr">
        <is>
          <t>PE11</t>
        </is>
      </c>
      <c r="B22" s="63" t="inlineStr">
        <is>
          <t>As a parent, I want to resubmit my child's rejected hours.</t>
        </is>
      </c>
      <c r="C22" s="63" t="inlineStr">
        <is>
          <t>On a rejected past event, enter corrected hours → Resubmit.</t>
        </is>
      </c>
      <c r="D22" s="63" t="inlineStr">
        <is>
          <t>Returns to 'Waiting for review'.</t>
        </is>
      </c>
      <c r="E22" s="64" t="n"/>
      <c r="F22" s="64" t="n"/>
      <c r="G22" s="64" t="n"/>
      <c r="H22" s="64" t="n"/>
      <c r="I22" s="64" t="n"/>
      <c r="J22" s="64" t="n"/>
    </row>
    <row r="23" ht="42" customHeight="1" s="54">
      <c r="A23" s="62" t="inlineStr">
        <is>
          <t>PE12</t>
        </is>
      </c>
      <c r="B23" s="63" t="inlineStr">
        <is>
          <t>As a parent, I want to see each past event's hours status for my child.</t>
        </is>
      </c>
      <c r="C23" s="63" t="inlineStr">
        <is>
          <t>Look at the child's past events list.</t>
        </is>
      </c>
      <c r="D23" s="63" t="inlineStr">
        <is>
          <t>Each shows Approved / Waiting / Rejected as appropriate.</t>
        </is>
      </c>
      <c r="E23" s="64" t="n"/>
      <c r="F23" s="64" t="n"/>
      <c r="G23" s="64" t="n"/>
      <c r="H23" s="64" t="n"/>
      <c r="I23" s="64" t="n"/>
      <c r="J23" s="64" t="n"/>
    </row>
    <row r="24" ht="42" customHeight="1" s="54">
      <c r="A24" s="62" t="inlineStr">
        <is>
          <t>PE13</t>
        </is>
      </c>
      <c r="B24" s="63" t="inlineStr">
        <is>
          <t>As a parent, all core participant actions are available to me for my child.</t>
        </is>
      </c>
      <c r="C24" s="63" t="inlineStr">
        <is>
          <t>Confirm: browse, sign up, withdraw, add-to-calendar, submit hours, view progress toward medals.</t>
        </is>
      </c>
      <c r="D24" s="63" t="inlineStr">
        <is>
          <t>All participant-style actions work on the child's behalf (the child never logs in).</t>
        </is>
      </c>
      <c r="E24" s="64" t="n"/>
      <c r="F24" s="64" t="n"/>
      <c r="G24" s="64" t="n"/>
      <c r="H24" s="64" t="n"/>
      <c r="I24" s="64" t="n"/>
      <c r="J24" s="64" t="n"/>
    </row>
    <row r="25" ht="42" customHeight="1" s="54">
      <c r="A25" s="62" t="inlineStr">
        <is>
          <t>PE16</t>
        </is>
      </c>
      <c r="B25" s="63" t="inlineStr">
        <is>
          <t>As a parent, I want to browse/search opportunities for my child (upcoming &amp; past).</t>
        </is>
      </c>
      <c r="C25" s="63" t="inlineStr">
        <is>
          <t>Find Opportunities with the child selected; use search and the upcoming/past views.</t>
        </is>
      </c>
      <c r="D25" s="63" t="inlineStr">
        <is>
          <t>Same event list a participant sees, scoped to the child's grade/org.</t>
        </is>
      </c>
      <c r="E25" s="64" t="n"/>
      <c r="F25" s="64" t="n"/>
      <c r="G25" s="64" t="n"/>
      <c r="H25" s="64" t="n"/>
      <c r="I25" s="64" t="n"/>
      <c r="J25" s="64" t="n"/>
    </row>
    <row r="26" ht="42" customHeight="1" s="54">
      <c r="A26" s="62" t="inlineStr">
        <is>
          <t>PE17</t>
        </is>
      </c>
      <c r="B26" s="63" t="inlineStr">
        <is>
          <t>As a parent, I want to withdraw my child from an event.</t>
        </is>
      </c>
      <c r="C26" s="63" t="inlineStr">
        <is>
          <t>Open the child's upcoming events → withdraw.</t>
        </is>
      </c>
      <c r="D26" s="63" t="inlineStr">
        <is>
          <t>The child is removed; the slot frees up.</t>
        </is>
      </c>
      <c r="E26" s="64" t="n"/>
      <c r="F26" s="64" t="n"/>
      <c r="G26" s="64" t="n"/>
      <c r="H26" s="64" t="n"/>
      <c r="I26" s="64" t="n"/>
      <c r="J26" s="64" t="n"/>
    </row>
    <row r="27" ht="42" customHeight="1" s="54">
      <c r="A27" s="62" t="inlineStr">
        <is>
          <t>PE18</t>
        </is>
      </c>
      <c r="B27" s="63" t="inlineStr">
        <is>
          <t>As a parent, I want to check my child in on event day.</t>
        </is>
      </c>
      <c r="C27" s="63" t="inlineStr">
        <is>
          <t>On the event day within the window, check the child in.</t>
        </is>
      </c>
      <c r="D27" s="63" t="inlineStr">
        <is>
          <t>Check-in succeeds for the child.</t>
        </is>
      </c>
      <c r="E27" s="64" t="n"/>
      <c r="F27" s="64" t="n"/>
      <c r="G27" s="64" t="n"/>
      <c r="H27" s="64" t="n"/>
      <c r="I27" s="64" t="n"/>
      <c r="J27" s="64" t="n"/>
    </row>
    <row r="28" ht="42" customHeight="1" s="54">
      <c r="A28" s="62" t="inlineStr">
        <is>
          <t>PE19</t>
        </is>
      </c>
      <c r="B28" s="63" t="inlineStr">
        <is>
          <t>As a parent, I want to see my child's medal progress.</t>
        </is>
      </c>
      <c r="C28" s="63" t="inlineStr">
        <is>
          <t>Open the dashboard / child card.</t>
        </is>
      </c>
      <c r="D28" s="63" t="inlineStr">
        <is>
          <t>Progress uses the child's grade-based thresholds (e.g. lower bar for younger grades).</t>
        </is>
      </c>
      <c r="E28" s="64" t="n"/>
      <c r="F28" s="64" t="n"/>
      <c r="G28" s="64" t="n"/>
      <c r="H28" s="64" t="n"/>
      <c r="I28" s="64" t="n"/>
      <c r="J28" s="64" t="n"/>
    </row>
    <row r="29" ht="42" customHeight="1" s="54">
      <c r="A29" s="62" t="inlineStr">
        <is>
          <t>PE20</t>
        </is>
      </c>
      <c r="B29" s="63" t="inlineStr">
        <is>
          <t>As a parent, external &gt;5h for my child requires proof.</t>
        </is>
      </c>
      <c r="C29" s="63" t="inlineStr">
        <is>
          <t>Outside hours for the child, over 5 hours, without then with a proof file.</t>
        </is>
      </c>
      <c r="D29" s="63" t="inlineStr">
        <is>
          <t>Blocked without proof; submits with a photo/letter.</t>
        </is>
      </c>
      <c r="E29" s="64" t="n"/>
      <c r="F29" s="64" t="n"/>
      <c r="G29" s="64" t="n"/>
      <c r="H29" s="64" t="n"/>
      <c r="I29" s="64" t="n"/>
      <c r="J29" s="64" t="n"/>
    </row>
    <row r="30" ht="42" customHeight="1" s="54">
      <c r="A30" s="62" t="inlineStr">
        <is>
          <t>PE14</t>
        </is>
      </c>
      <c r="B30" s="63" t="inlineStr">
        <is>
          <t>As a parent, I want to log my child's outside/nonprofit volunteering.</t>
        </is>
      </c>
      <c r="C30" s="63" t="inlineStr">
        <is>
          <t>Child card → 'Outside hours' → fill activity, org, date, hours, supervisor → Submit.</t>
        </is>
      </c>
      <c r="D30" s="63" t="inlineStr">
        <is>
          <t>External hours submitted for the child and sent for supervisor approval (proof required over 5h).</t>
        </is>
      </c>
      <c r="E30" s="64" t="n"/>
      <c r="F30" s="64" t="n"/>
      <c r="G30" s="64" t="n"/>
      <c r="H30" s="64" t="n"/>
      <c r="I30" s="64" t="n"/>
      <c r="J30" s="64" t="n"/>
    </row>
    <row r="31" ht="42" customHeight="1" s="54">
      <c r="A31" s="62" t="inlineStr">
        <is>
          <t>PE15</t>
        </is>
      </c>
      <c r="B31" s="63" t="inlineStr">
        <is>
          <t>As a parent, I want my child's verified service record.</t>
        </is>
      </c>
      <c r="C31" s="63" t="inlineStr">
        <is>
          <t>Child card → 'Service record'.</t>
        </is>
      </c>
      <c r="D31" s="63" t="inlineStr">
        <is>
          <t>The child's itemized record opens; Print / Save-as-PDF works.</t>
        </is>
      </c>
      <c r="E31" s="64" t="n"/>
      <c r="F31" s="64" t="n"/>
      <c r="G31" s="64" t="n"/>
      <c r="H31" s="64" t="n"/>
      <c r="I31" s="64" t="n"/>
      <c r="J31" s="64" t="n"/>
    </row>
    <row r="32" ht="42" customHeight="1" s="54">
      <c r="A32" s="62" t="inlineStr">
        <is>
          <t>PE22</t>
        </is>
      </c>
      <c r="B32" s="63" t="inlineStr">
        <is>
          <t>As a parent, I want to be emailed when my child's hours are reviewed.</t>
        </is>
      </c>
      <c r="C32" s="63" t="inlineStr">
        <is>
          <t>Have a supervisor approve then reject a submission for a managed child.</t>
        </is>
      </c>
      <c r="D32" s="63" t="inlineStr">
        <is>
          <t>You (the guardian) receive the approved / needs-attention emails, even though the child has no email of their own.</t>
        </is>
      </c>
      <c r="E32" s="64" t="n"/>
      <c r="F32" s="64" t="n"/>
      <c r="G32" s="64" t="n"/>
      <c r="H32" s="64" t="n"/>
      <c r="I32" s="64" t="n"/>
      <c r="J32" s="64" t="n"/>
    </row>
    <row r="33" ht="42" customHeight="1" s="54">
      <c r="A33" s="62" t="inlineStr">
        <is>
          <t>PE23</t>
        </is>
      </c>
      <c r="B33" s="63" t="inlineStr">
        <is>
          <t>As a parent, I want to edit my child's details.</t>
        </is>
      </c>
      <c r="C33" s="63" t="inlineStr">
        <is>
          <t>Child card → Edit → change name/grade/school → save.</t>
        </is>
      </c>
      <c r="D33" s="63" t="inlineStr">
        <is>
          <t>Changes save for the managed child.</t>
        </is>
      </c>
      <c r="E33" s="64" t="n"/>
      <c r="F33" s="64" t="n"/>
      <c r="G33" s="64" t="n"/>
      <c r="H33" s="64" t="n"/>
      <c r="I33" s="64" t="n"/>
      <c r="J33" s="64" t="n"/>
    </row>
    <row r="34" ht="42" customHeight="1" s="54">
      <c r="A34" s="62" t="inlineStr">
        <is>
          <t>PE24</t>
        </is>
      </c>
      <c r="B34" s="63" t="inlineStr">
        <is>
          <t>As a parent, I understand a managed child can't be added to an event by a supervisor's by-email tool.</t>
        </is>
      </c>
      <c r="C34" s="63" t="inlineStr">
        <is>
          <t>Ask a supervisor/admin to try adding the child via Roster → Add a participant; then sign the child up yourself from Find Opportunities.</t>
        </is>
      </c>
      <c r="D34" s="63" t="inlineStr">
        <is>
          <t>The by-email add can't find the child (no login/email of their own); the supported path is the guardian signing the child up, which puts the event on the child's schedule.</t>
        </is>
      </c>
      <c r="E34" s="64" t="n"/>
      <c r="F34" s="64" t="n"/>
      <c r="G34" s="64" t="n"/>
      <c r="H34" s="64" t="n"/>
      <c r="I34" s="64" t="n"/>
      <c r="J34" s="64" t="n"/>
    </row>
    <row r="35" ht="42" customHeight="1" s="54">
      <c r="A35" s="62" t="inlineStr">
        <is>
          <t>PE25</t>
        </is>
      </c>
      <c r="B35" s="63" t="inlineStr">
        <is>
          <t>As a parent, when I sign my child up, it appears on the child's schedule.</t>
        </is>
      </c>
      <c r="C35" s="63" t="inlineStr">
        <is>
          <t>Find Opportunities → pick child → sign up → open dashboard.</t>
        </is>
      </c>
      <c r="D35" s="63" t="inlineStr">
        <is>
          <t>The event shows on the child's upcoming schedule with add-to-calendar; a new-sign-up flag/confirmation appears.</t>
        </is>
      </c>
      <c r="E35" s="64" t="n"/>
      <c r="F35" s="64" t="n"/>
      <c r="G35" s="64" t="n"/>
      <c r="H35" s="64" t="n"/>
      <c r="I35" s="64" t="n"/>
      <c r="J35" s="64" t="n"/>
    </row>
    <row r="36" ht="20" customHeight="1" s="54">
      <c r="A36" s="61" t="inlineStr">
        <is>
          <t>Cross-cutting</t>
        </is>
      </c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</row>
    <row r="37" ht="42" customHeight="1" s="54">
      <c r="A37" s="62" t="inlineStr">
        <is>
          <t>X1</t>
        </is>
      </c>
      <c r="B37" s="63" t="inlineStr">
        <is>
          <t>As a phone user, I want a usable mobile layout.</t>
        </is>
      </c>
      <c r="C37" s="63" t="inlineStr">
        <is>
          <t>Open at phone width; use the menu drawer.</t>
        </is>
      </c>
      <c r="D37" s="63" t="inlineStr">
        <is>
          <t>Layout adapts; drawer opens/closes; no horizontal scroll.</t>
        </is>
      </c>
      <c r="E37" s="64" t="n"/>
      <c r="F37" s="64" t="n"/>
      <c r="G37" s="64" t="n"/>
      <c r="H37" s="64" t="n"/>
      <c r="I37" s="64" t="n"/>
      <c r="J37" s="64" t="n"/>
    </row>
    <row r="38" ht="42" customHeight="1" s="54">
      <c r="A38" s="62" t="inlineStr">
        <is>
          <t>X2</t>
        </is>
      </c>
      <c r="B38" s="63" t="inlineStr">
        <is>
          <t>As a visitor, I want the recycling ribbon on the login page.</t>
        </is>
      </c>
      <c r="C38" s="63" t="inlineStr">
        <is>
          <t>Open login signed out.</t>
        </is>
      </c>
      <c r="D38" s="63" t="inlineStr">
        <is>
          <t>Green ribbon shows on login.</t>
        </is>
      </c>
      <c r="E38" s="64" t="n"/>
      <c r="F38" s="64" t="n"/>
      <c r="G38" s="64" t="n"/>
      <c r="H38" s="64" t="n"/>
      <c r="I38" s="64" t="n"/>
      <c r="J38" s="64" t="n"/>
    </row>
  </sheetData>
  <mergeCells count="7">
    <mergeCell ref="A1:J1"/>
    <mergeCell ref="A36:J36"/>
    <mergeCell ref="G2:H2"/>
    <mergeCell ref="E2:F2"/>
    <mergeCell ref="I2:J2"/>
    <mergeCell ref="A4:J4"/>
    <mergeCell ref="A11:J11"/>
  </mergeCells>
  <conditionalFormatting sqref="E4:E38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38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conditionalFormatting sqref="I4:I38">
    <cfRule type="cellIs" priority="7" operator="equal" dxfId="3">
      <formula>"Pass"</formula>
    </cfRule>
    <cfRule type="cellIs" priority="8" operator="equal" dxfId="4">
      <formula>"Fail"</formula>
    </cfRule>
    <cfRule type="cellIs" priority="9" operator="equal" dxfId="5">
      <formula>"Blocked"</formula>
    </cfRule>
  </conditionalFormatting>
  <dataValidations count="1">
    <dataValidation sqref="E4:E38 G4:G38 I4:I38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</cols>
  <sheetData>
    <row r="1" ht="26" customHeight="1" s="54">
      <c r="A1" s="56" t="inlineStr">
        <is>
          <t>Test cases — Parent — viewer (6–12 student)</t>
        </is>
      </c>
      <c r="B1" s="57" t="n"/>
      <c r="C1" s="57" t="n"/>
      <c r="D1" s="57" t="n"/>
      <c r="E1" s="57" t="n"/>
      <c r="F1" s="57" t="n"/>
      <c r="G1" s="57" t="n"/>
      <c r="H1" s="57" t="n"/>
    </row>
    <row r="2" ht="30" customHeight="1" s="54">
      <c r="E2" s="58" t="inlineStr">
        <is>
          <t>Tester 1
Platform: ?</t>
        </is>
      </c>
      <c r="F2" s="59" t="n"/>
      <c r="G2" s="58" t="inlineStr">
        <is>
          <t>Tester 2
Platform: ?</t>
        </is>
      </c>
      <c r="H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</row>
    <row r="11" ht="20" customHeight="1" s="54">
      <c r="A11" s="61" t="inlineStr">
        <is>
          <t>Parent — viewer (grades 6–12 student)</t>
        </is>
      </c>
      <c r="B11" s="59" t="n"/>
      <c r="C11" s="59" t="n"/>
      <c r="D11" s="59" t="n"/>
      <c r="E11" s="59" t="n"/>
      <c r="F11" s="59" t="n"/>
      <c r="G11" s="59" t="n"/>
      <c r="H11" s="59" t="n"/>
    </row>
    <row r="12" ht="42" customHeight="1" s="54">
      <c r="A12" s="62" t="inlineStr">
        <is>
          <t>PV1</t>
        </is>
      </c>
      <c r="B12" s="63" t="inlineStr">
        <is>
          <t>As a parent of a 6–12 student, I want to register for view-only access.</t>
        </is>
      </c>
      <c r="C12" s="63" t="inlineStr">
        <is>
          <t>Create account → parent of a 6–12 student.</t>
        </is>
      </c>
      <c r="D12" s="63" t="inlineStr">
        <is>
          <t>Account created; no invite required to register.</t>
        </is>
      </c>
      <c r="E12" s="64" t="n"/>
      <c r="F12" s="64" t="n"/>
      <c r="G12" s="64" t="n"/>
      <c r="H12" s="64" t="n"/>
    </row>
    <row r="13" ht="42" customHeight="1" s="54">
      <c r="A13" s="62" t="inlineStr">
        <is>
          <t>PV2</t>
        </is>
      </c>
      <c r="B13" s="63" t="inlineStr">
        <is>
          <t>As a viewer parent, my student links automatically by email.</t>
        </is>
      </c>
      <c r="C13" s="63" t="inlineStr">
        <is>
          <t>Have a student enter this exact email as their parent email (before or after you register).</t>
        </is>
      </c>
      <c r="D13" s="63" t="inlineStr">
        <is>
          <t>The student appears on your dashboard automatically; empty until then.</t>
        </is>
      </c>
      <c r="E13" s="64" t="n"/>
      <c r="F13" s="64" t="n"/>
      <c r="G13" s="64" t="n"/>
      <c r="H13" s="64" t="n"/>
    </row>
    <row r="14" ht="42" customHeight="1" s="54">
      <c r="A14" s="62" t="inlineStr">
        <is>
          <t>PV3</t>
        </is>
      </c>
      <c r="B14" s="63" t="inlineStr">
        <is>
          <t>As a viewer parent, I want to see my student's schedule/progress.</t>
        </is>
      </c>
      <c r="C14" s="63" t="inlineStr">
        <is>
          <t>Open the dashboard.</t>
        </is>
      </c>
      <c r="D14" s="63" t="inlineStr">
        <is>
          <t>View-only schedule and progress.</t>
        </is>
      </c>
      <c r="E14" s="64" t="n"/>
      <c r="F14" s="64" t="n"/>
      <c r="G14" s="64" t="n"/>
      <c r="H14" s="64" t="n"/>
    </row>
    <row r="15" ht="42" customHeight="1" s="54">
      <c r="A15" s="62" t="inlineStr">
        <is>
          <t>PV4</t>
        </is>
      </c>
      <c r="B15" s="63" t="inlineStr">
        <is>
          <t>As a viewer parent, I do NOT sign the student up.</t>
        </is>
      </c>
      <c r="C15" s="63" t="inlineStr">
        <is>
          <t>Look for a sign-up action.</t>
        </is>
      </c>
      <c r="D15" s="63" t="inlineStr">
        <is>
          <t>No sign-up on the student's behalf — the student self-serves.</t>
        </is>
      </c>
      <c r="E15" s="64" t="n"/>
      <c r="F15" s="64" t="n"/>
      <c r="G15" s="64" t="n"/>
      <c r="H15" s="64" t="n"/>
    </row>
    <row r="16" ht="42" customHeight="1" s="54">
      <c r="A16" s="62" t="inlineStr">
        <is>
          <t>PV5</t>
        </is>
      </c>
      <c r="B16" s="63" t="inlineStr">
        <is>
          <t>As a viewer parent, I want to invite a co-guardian.</t>
        </is>
      </c>
      <c r="C16" s="63" t="inlineStr">
        <is>
          <t>Invite a co-guardian by email.</t>
        </is>
      </c>
      <c r="D16" s="63" t="inlineStr">
        <is>
          <t>Invite email sent; shared access on registration.</t>
        </is>
      </c>
      <c r="E16" s="64" t="n"/>
      <c r="F16" s="64" t="n"/>
      <c r="G16" s="64" t="n"/>
      <c r="H16" s="64" t="n"/>
    </row>
    <row r="17" ht="20" customHeight="1" s="54">
      <c r="A17" s="61" t="inlineStr">
        <is>
          <t>Cross-cutting</t>
        </is>
      </c>
      <c r="B17" s="59" t="n"/>
      <c r="C17" s="59" t="n"/>
      <c r="D17" s="59" t="n"/>
      <c r="E17" s="59" t="n"/>
      <c r="F17" s="59" t="n"/>
      <c r="G17" s="59" t="n"/>
      <c r="H17" s="59" t="n"/>
    </row>
    <row r="18" ht="42" customHeight="1" s="54">
      <c r="A18" s="62" t="inlineStr">
        <is>
          <t>X1</t>
        </is>
      </c>
      <c r="B18" s="63" t="inlineStr">
        <is>
          <t>As a phone user, I want a usable mobile layout.</t>
        </is>
      </c>
      <c r="C18" s="63" t="inlineStr">
        <is>
          <t>Open at phone width; use the menu drawer.</t>
        </is>
      </c>
      <c r="D18" s="63" t="inlineStr">
        <is>
          <t>Layout adapts; drawer opens/closes; no horizontal scroll.</t>
        </is>
      </c>
      <c r="E18" s="64" t="n"/>
      <c r="F18" s="64" t="n"/>
      <c r="G18" s="64" t="n"/>
      <c r="H18" s="64" t="n"/>
    </row>
    <row r="19" ht="42" customHeight="1" s="54">
      <c r="A19" s="62" t="inlineStr">
        <is>
          <t>X2</t>
        </is>
      </c>
      <c r="B19" s="63" t="inlineStr">
        <is>
          <t>As a visitor, I want the recycling ribbon on the login page.</t>
        </is>
      </c>
      <c r="C19" s="63" t="inlineStr">
        <is>
          <t>Open login signed out.</t>
        </is>
      </c>
      <c r="D19" s="63" t="inlineStr">
        <is>
          <t>Green ribbon shows on login.</t>
        </is>
      </c>
      <c r="E19" s="64" t="n"/>
      <c r="F19" s="64" t="n"/>
      <c r="G19" s="64" t="n"/>
      <c r="H19" s="64" t="n"/>
    </row>
  </sheetData>
  <mergeCells count="6">
    <mergeCell ref="A4:H4"/>
    <mergeCell ref="G2:H2"/>
    <mergeCell ref="E2:F2"/>
    <mergeCell ref="A11:H11"/>
    <mergeCell ref="A1:H1"/>
    <mergeCell ref="A17:H17"/>
  </mergeCells>
  <conditionalFormatting sqref="E4:E19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19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dataValidations count="1">
    <dataValidation sqref="E4:E19 G4:G19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  <col width="13" customWidth="1" style="54" min="9" max="9"/>
    <col width="30" customWidth="1" style="54" min="10" max="10"/>
  </cols>
  <sheetData>
    <row r="1" ht="26" customHeight="1" s="54">
      <c r="A1" s="56" t="inlineStr">
        <is>
          <t>Test cases — Supervisor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</row>
    <row r="2" ht="30" customHeight="1" s="54">
      <c r="E2" s="58" t="inlineStr">
        <is>
          <t>Saman Atherr
Platform: ?</t>
        </is>
      </c>
      <c r="F2" s="59" t="n"/>
      <c r="G2" s="58" t="inlineStr">
        <is>
          <t>Muna Ali
Platform: ?</t>
        </is>
      </c>
      <c r="H2" s="59" t="n"/>
      <c r="I2" s="58" t="inlineStr">
        <is>
          <t>Labiba Bukhari
Platform: ?</t>
        </is>
      </c>
      <c r="J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  <c r="I3" s="60" t="inlineStr">
        <is>
          <t>Result</t>
        </is>
      </c>
      <c r="J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  <c r="I4" s="59" t="n"/>
      <c r="J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  <c r="I5" s="64" t="n"/>
      <c r="J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  <c r="I6" s="64" t="n"/>
      <c r="J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  <c r="I7" s="64" t="n"/>
      <c r="J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  <c r="I8" s="64" t="n"/>
      <c r="J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  <c r="I9" s="64" t="n"/>
      <c r="J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  <c r="I10" s="64" t="n"/>
      <c r="J10" s="64" t="n"/>
    </row>
    <row r="11" ht="20" customHeight="1" s="54">
      <c r="A11" s="61" t="inlineStr">
        <is>
          <t>Supervisor (created by an Admin)</t>
        </is>
      </c>
      <c r="B11" s="59" t="n"/>
      <c r="C11" s="59" t="n"/>
      <c r="D11" s="59" t="n"/>
      <c r="E11" s="59" t="n"/>
      <c r="F11" s="59" t="n"/>
      <c r="G11" s="59" t="n"/>
      <c r="H11" s="59" t="n"/>
      <c r="I11" s="59" t="n"/>
      <c r="J11" s="59" t="n"/>
    </row>
    <row r="12" ht="42" customHeight="1" s="54">
      <c r="A12" s="62" t="inlineStr">
        <is>
          <t>SV1</t>
        </is>
      </c>
      <c r="B12" s="63" t="inlineStr">
        <is>
          <t>As the program, a supervisor cannot self-register.</t>
        </is>
      </c>
      <c r="C12" s="63" t="inlineStr">
        <is>
          <t>Review the sign-up options.</t>
        </is>
      </c>
      <c r="D12" s="63" t="inlineStr">
        <is>
          <t>No supervisor option exists on registration.</t>
        </is>
      </c>
      <c r="E12" s="64" t="n"/>
      <c r="F12" s="64" t="n"/>
      <c r="G12" s="64" t="n"/>
      <c r="H12" s="64" t="n"/>
      <c r="I12" s="64" t="n"/>
      <c r="J12" s="64" t="n"/>
    </row>
    <row r="13" ht="42" customHeight="1" s="54">
      <c r="A13" s="62" t="inlineStr">
        <is>
          <t>SV2</t>
        </is>
      </c>
      <c r="B13" s="63" t="inlineStr">
        <is>
          <t>As a new supervisor, I get an invite to set my password.</t>
        </is>
      </c>
      <c r="C13" s="63" t="inlineStr">
        <is>
          <t>Have an Admin create your account; open the invite email; set password; sign in.</t>
        </is>
      </c>
      <c r="D13" s="63" t="inlineStr">
        <is>
          <t>Invite email arrives with a working set-password link; you can sign in.</t>
        </is>
      </c>
      <c r="E13" s="64" t="n"/>
      <c r="F13" s="64" t="n"/>
      <c r="G13" s="64" t="n"/>
      <c r="H13" s="64" t="n"/>
      <c r="I13" s="64" t="n"/>
      <c r="J13" s="64" t="n"/>
    </row>
    <row r="14" ht="42" customHeight="1" s="54">
      <c r="A14" s="62" t="inlineStr">
        <is>
          <t>SV3</t>
        </is>
      </c>
      <c r="B14" s="63" t="inlineStr">
        <is>
          <t>As a supervisor, I want the correct 7 left-menu tabs.</t>
        </is>
      </c>
      <c r="C14" s="63" t="inlineStr">
        <is>
          <t>Look at the left menu.</t>
        </is>
      </c>
      <c r="D14" s="63" t="inlineStr">
        <is>
          <t>Dashboard, Pending Reviews, Reviewed History, My Events, All Opportunities, My Hours, Help.</t>
        </is>
      </c>
      <c r="E14" s="64" t="n"/>
      <c r="F14" s="64" t="n"/>
      <c r="G14" s="64" t="n"/>
      <c r="H14" s="64" t="n"/>
      <c r="I14" s="64" t="n"/>
      <c r="J14" s="64" t="n"/>
    </row>
    <row r="15" ht="42" customHeight="1" s="54">
      <c r="A15" s="62" t="inlineStr">
        <is>
          <t>SV4</t>
        </is>
      </c>
      <c r="B15" s="63" t="inlineStr">
        <is>
          <t>As a supervisor, I want a dashboard.</t>
        </is>
      </c>
      <c r="C15" s="63" t="inlineStr">
        <is>
          <t>Open the dashboard.</t>
        </is>
      </c>
      <c r="D15" s="63" t="inlineStr">
        <is>
          <t>Review queue, approved/rejected counts, registrations, hours, upcoming events + Roster links.</t>
        </is>
      </c>
      <c r="E15" s="64" t="n"/>
      <c r="F15" s="64" t="n"/>
      <c r="G15" s="64" t="n"/>
      <c r="H15" s="64" t="n"/>
      <c r="I15" s="64" t="n"/>
      <c r="J15" s="64" t="n"/>
    </row>
    <row r="16" ht="42" customHeight="1" s="54">
      <c r="A16" s="62" t="inlineStr">
        <is>
          <t>SV5</t>
        </is>
      </c>
      <c r="B16" s="63" t="inlineStr">
        <is>
          <t>As a supervisor, I want to approve hours.</t>
        </is>
      </c>
      <c r="C16" s="63" t="inlineStr">
        <is>
          <t>Pending Reviews → open → Approve.</t>
        </is>
      </c>
      <c r="D16" s="63" t="inlineStr">
        <is>
          <t>Approved; moves to Reviewed History; participant total updates; email sent.</t>
        </is>
      </c>
      <c r="E16" s="64" t="n"/>
      <c r="F16" s="64" t="n"/>
      <c r="G16" s="64" t="n"/>
      <c r="H16" s="64" t="n"/>
      <c r="I16" s="64" t="n"/>
      <c r="J16" s="64" t="n"/>
    </row>
    <row r="17" ht="42" customHeight="1" s="54">
      <c r="A17" s="62" t="inlineStr">
        <is>
          <t>SV6</t>
        </is>
      </c>
      <c r="B17" s="63" t="inlineStr">
        <is>
          <t>As a supervisor, I want to reject hours with a reason.</t>
        </is>
      </c>
      <c r="C17" s="63" t="inlineStr">
        <is>
          <t>Reject without a reason, then with one.</t>
        </is>
      </c>
      <c r="D17" s="63" t="inlineStr">
        <is>
          <t>Blocked until a reason is given; then rejected and the participant notified.</t>
        </is>
      </c>
      <c r="E17" s="64" t="n"/>
      <c r="F17" s="64" t="n"/>
      <c r="G17" s="64" t="n"/>
      <c r="H17" s="64" t="n"/>
      <c r="I17" s="64" t="n"/>
      <c r="J17" s="64" t="n"/>
    </row>
    <row r="18" ht="42" customHeight="1" s="54">
      <c r="A18" s="62" t="inlineStr">
        <is>
          <t>SV7</t>
        </is>
      </c>
      <c r="B18" s="63" t="inlineStr">
        <is>
          <t>As a supervisor, I want to review external submissions.</t>
        </is>
      </c>
      <c r="C18" s="63" t="inlineStr">
        <is>
          <t>Pending Reviews → external tab → approve/reject.</t>
        </is>
      </c>
      <c r="D18" s="63" t="inlineStr">
        <is>
          <t>External items reviewable, including any proof.</t>
        </is>
      </c>
      <c r="E18" s="64" t="n"/>
      <c r="F18" s="64" t="n"/>
      <c r="G18" s="64" t="n"/>
      <c r="H18" s="64" t="n"/>
      <c r="I18" s="64" t="n"/>
      <c r="J18" s="64" t="n"/>
    </row>
    <row r="19" ht="42" customHeight="1" s="54">
      <c r="A19" s="62" t="inlineStr">
        <is>
          <t>SV8</t>
        </is>
      </c>
      <c r="B19" s="63" t="inlineStr">
        <is>
          <t>As a supervisor, I want to create an event.</t>
        </is>
      </c>
      <c r="C19" s="63" t="inlineStr">
        <is>
          <t>New Event → title, description, slot, address, date, times, capacity, grade limits → save.</t>
        </is>
      </c>
      <c r="D19" s="63" t="inlineStr">
        <is>
          <t>Credit auto-calculated from times; event created in My Events.</t>
        </is>
      </c>
      <c r="E19" s="64" t="n"/>
      <c r="F19" s="64" t="n"/>
      <c r="G19" s="64" t="n"/>
      <c r="H19" s="64" t="n"/>
      <c r="I19" s="64" t="n"/>
      <c r="J19" s="64" t="n"/>
    </row>
    <row r="20" ht="42" customHeight="1" s="54">
      <c r="A20" s="62" t="inlineStr">
        <is>
          <t>SV9</t>
        </is>
      </c>
      <c r="B20" s="63" t="inlineStr">
        <is>
          <t>As a supervisor, I want to edit an event.</t>
        </is>
      </c>
      <c r="C20" s="63" t="inlineStr">
        <is>
          <t>My Events → edit → save.</t>
        </is>
      </c>
      <c r="D20" s="63" t="inlineStr">
        <is>
          <t>Changes persist and show to participants.</t>
        </is>
      </c>
      <c r="E20" s="64" t="n"/>
      <c r="F20" s="64" t="n"/>
      <c r="G20" s="64" t="n"/>
      <c r="H20" s="64" t="n"/>
      <c r="I20" s="64" t="n"/>
      <c r="J20" s="64" t="n"/>
    </row>
    <row r="21" ht="42" customHeight="1" s="54">
      <c r="A21" s="62" t="inlineStr">
        <is>
          <t>SV10</t>
        </is>
      </c>
      <c r="B21" s="63" t="inlineStr">
        <is>
          <t>As a supervisor, I want to delete an event with no approved hours.</t>
        </is>
      </c>
      <c r="C21" s="63" t="inlineStr">
        <is>
          <t>Delete such an event → confirm.</t>
        </is>
      </c>
      <c r="D21" s="63" t="inlineStr">
        <is>
          <t>Event deleted.</t>
        </is>
      </c>
      <c r="E21" s="64" t="n"/>
      <c r="F21" s="64" t="n"/>
      <c r="G21" s="64" t="n"/>
      <c r="H21" s="64" t="n"/>
      <c r="I21" s="64" t="n"/>
      <c r="J21" s="64" t="n"/>
    </row>
    <row r="22" ht="42" customHeight="1" s="54">
      <c r="A22" s="62" t="inlineStr">
        <is>
          <t>SV11</t>
        </is>
      </c>
      <c r="B22" s="63" t="inlineStr">
        <is>
          <t>As a supervisor, deleting an event with approved hours is blocked.</t>
        </is>
      </c>
      <c r="C22" s="63" t="inlineStr">
        <is>
          <t>Try to delete an event that has approved hours.</t>
        </is>
      </c>
      <c r="D22" s="63" t="inlineStr">
        <is>
          <t>Blocked with a message that approved hours must be preserved.</t>
        </is>
      </c>
      <c r="E22" s="64" t="n"/>
      <c r="F22" s="64" t="n"/>
      <c r="G22" s="64" t="n"/>
      <c r="H22" s="64" t="n"/>
      <c r="I22" s="64" t="n"/>
      <c r="J22" s="64" t="n"/>
    </row>
    <row r="23" ht="42" customHeight="1" s="54">
      <c r="A23" s="62" t="inlineStr">
        <is>
          <t>SV12</t>
        </is>
      </c>
      <c r="B23" s="63" t="inlineStr">
        <is>
          <t>As a supervisor, I want to see who signed up.</t>
        </is>
      </c>
      <c r="C23" s="63" t="inlineStr">
        <is>
          <t>Open the event Roster.</t>
        </is>
      </c>
      <c r="D23" s="63" t="inlineStr">
        <is>
          <t>Registrants listed with grade and status.</t>
        </is>
      </c>
      <c r="E23" s="64" t="n"/>
      <c r="F23" s="64" t="n"/>
      <c r="G23" s="64" t="n"/>
      <c r="H23" s="64" t="n"/>
      <c r="I23" s="64" t="n"/>
      <c r="J23" s="64" t="n"/>
    </row>
    <row r="24" ht="42" customHeight="1" s="54">
      <c r="A24" s="62" t="inlineStr">
        <is>
          <t>SV13</t>
        </is>
      </c>
      <c r="B24" s="63" t="inlineStr">
        <is>
          <t>As a supervisor, I want to check people in / mark no-show.</t>
        </is>
      </c>
      <c r="C24" s="63" t="inlineStr">
        <is>
          <t>On the roster, Check in and Mark no-show.</t>
        </is>
      </c>
      <c r="D24" s="63" t="inlineStr">
        <is>
          <t>Status updates and persists.</t>
        </is>
      </c>
      <c r="E24" s="64" t="n"/>
      <c r="F24" s="64" t="n"/>
      <c r="G24" s="64" t="n"/>
      <c r="H24" s="64" t="n"/>
      <c r="I24" s="64" t="n"/>
      <c r="J24" s="64" t="n"/>
    </row>
    <row r="25" ht="42" customHeight="1" s="54">
      <c r="A25" s="62" t="inlineStr">
        <is>
          <t>SV14</t>
        </is>
      </c>
      <c r="B25" s="63" t="inlineStr">
        <is>
          <t>As a supervisor, I want to message everyone signed up.</t>
        </is>
      </c>
      <c r="C25" s="63" t="inlineStr">
        <is>
          <t>Roster → Message attendees → subject+message → send (include guardians on).</t>
        </is>
      </c>
      <c r="D25" s="63" t="inlineStr">
        <is>
          <t>Each registrant (and guardians) emailed individually; recipient count shown.</t>
        </is>
      </c>
      <c r="E25" s="64" t="n"/>
      <c r="F25" s="64" t="n"/>
      <c r="G25" s="64" t="n"/>
      <c r="H25" s="64" t="n"/>
      <c r="I25" s="64" t="n"/>
      <c r="J25" s="64" t="n"/>
    </row>
    <row r="26" ht="42" customHeight="1" s="54">
      <c r="A26" s="62" t="inlineStr">
        <is>
          <t>SV15</t>
        </is>
      </c>
      <c r="B26" s="63" t="inlineStr">
        <is>
          <t>As a supervisor, I want a history of what I reviewed.</t>
        </is>
      </c>
      <c r="C26" s="63" t="inlineStr">
        <is>
          <t>Open Reviewed History.</t>
        </is>
      </c>
      <c r="D26" s="63" t="inlineStr">
        <is>
          <t>Every approved/rejected item with dates and volunteers.</t>
        </is>
      </c>
      <c r="E26" s="64" t="n"/>
      <c r="F26" s="64" t="n"/>
      <c r="G26" s="64" t="n"/>
      <c r="H26" s="64" t="n"/>
      <c r="I26" s="64" t="n"/>
      <c r="J26" s="64" t="n"/>
    </row>
    <row r="27" ht="42" customHeight="1" s="54">
      <c r="A27" s="62" t="inlineStr">
        <is>
          <t>SV16</t>
        </is>
      </c>
      <c r="B27" s="63" t="inlineStr">
        <is>
          <t>As a supervisor, I want to browse all opportunities view-only.</t>
        </is>
      </c>
      <c r="C27" s="63" t="inlineStr">
        <is>
          <t>All Opportunities → search / upcoming-past.</t>
        </is>
      </c>
      <c r="D27" s="63" t="inlineStr">
        <is>
          <t>Every event listed read-only; can't edit others' events.</t>
        </is>
      </c>
      <c r="E27" s="64" t="n"/>
      <c r="F27" s="64" t="n"/>
      <c r="G27" s="64" t="n"/>
      <c r="H27" s="64" t="n"/>
      <c r="I27" s="64" t="n"/>
      <c r="J27" s="64" t="n"/>
    </row>
    <row r="28" ht="42" customHeight="1" s="54">
      <c r="A28" s="62" t="inlineStr">
        <is>
          <t>SV17</t>
        </is>
      </c>
      <c r="B28" s="63" t="inlineStr">
        <is>
          <t>As a supervisor, I want to log my own adult hours.</t>
        </is>
      </c>
      <c r="C28" s="63" t="inlineStr">
        <is>
          <t>My Hours → log an activity, date, hours → save.</t>
        </is>
      </c>
      <c r="D28" s="63" t="inlineStr">
        <is>
          <t>Recorded instantly with a running total; clearly NOT part of the student competition.</t>
        </is>
      </c>
      <c r="E28" s="64" t="n"/>
      <c r="F28" s="64" t="n"/>
      <c r="G28" s="64" t="n"/>
      <c r="H28" s="64" t="n"/>
      <c r="I28" s="64" t="n"/>
      <c r="J28" s="64" t="n"/>
    </row>
    <row r="29" ht="42" customHeight="1" s="54">
      <c r="A29" s="62" t="inlineStr">
        <is>
          <t>SV18</t>
        </is>
      </c>
      <c r="B29" s="63" t="inlineStr">
        <is>
          <t>As a supervisor, I want to delete an adult-hours entry.</t>
        </is>
      </c>
      <c r="C29" s="63" t="inlineStr">
        <is>
          <t>My Hours → delete an entry → confirm.</t>
        </is>
      </c>
      <c r="D29" s="63" t="inlineStr">
        <is>
          <t>Removed; total updates.</t>
        </is>
      </c>
      <c r="E29" s="64" t="n"/>
      <c r="F29" s="64" t="n"/>
      <c r="G29" s="64" t="n"/>
      <c r="H29" s="64" t="n"/>
      <c r="I29" s="64" t="n"/>
      <c r="J29" s="64" t="n"/>
    </row>
    <row r="30" ht="42" customHeight="1" s="54">
      <c r="A30" s="62" t="inlineStr">
        <is>
          <t>SV19</t>
        </is>
      </c>
      <c r="B30" s="63" t="inlineStr">
        <is>
          <t>As a supervisor, I must NOT access user or org management.</t>
        </is>
      </c>
      <c r="C30" s="63" t="inlineStr">
        <is>
          <t>Look for Users / Organizations in the menu.</t>
        </is>
      </c>
      <c r="D30" s="63" t="inlineStr">
        <is>
          <t>Those tabs are absent; direct URLs are blocked.</t>
        </is>
      </c>
      <c r="E30" s="64" t="n"/>
      <c r="F30" s="64" t="n"/>
      <c r="G30" s="64" t="n"/>
      <c r="H30" s="64" t="n"/>
      <c r="I30" s="64" t="n"/>
      <c r="J30" s="64" t="n"/>
    </row>
    <row r="31" ht="42" customHeight="1" s="54">
      <c r="A31" s="62" t="inlineStr">
        <is>
          <t>SV20</t>
        </is>
      </c>
      <c r="B31" s="63" t="inlineStr">
        <is>
          <t>As a supervisor, I want to attach files to a message.</t>
        </is>
      </c>
      <c r="C31" s="63" t="inlineStr">
        <is>
          <t>Roster → Message attendees → add an image/PDF (≤10 MB) → send.</t>
        </is>
      </c>
      <c r="D31" s="63" t="inlineStr">
        <is>
          <t>The attachment uploads, appears in the dialog, and arrives with the email.</t>
        </is>
      </c>
      <c r="E31" s="64" t="n"/>
      <c r="F31" s="64" t="n"/>
      <c r="G31" s="64" t="n"/>
      <c r="H31" s="64" t="n"/>
      <c r="I31" s="64" t="n"/>
      <c r="J31" s="64" t="n"/>
    </row>
    <row r="32" ht="42" customHeight="1" s="54">
      <c r="A32" s="62" t="inlineStr">
        <is>
          <t>SV21</t>
        </is>
      </c>
      <c r="B32" s="63" t="inlineStr">
        <is>
          <t>As a supervisor, I want an email when someone signs up.</t>
        </is>
      </c>
      <c r="C32" s="63" t="inlineStr">
        <is>
          <t>Have a participant sign up for your event (with notifications on).</t>
        </is>
      </c>
      <c r="D32" s="63" t="inlineStr">
        <is>
          <t>You receive a sign-up email; toggling notifications off stops them.</t>
        </is>
      </c>
      <c r="E32" s="64" t="n"/>
      <c r="F32" s="64" t="n"/>
      <c r="G32" s="64" t="n"/>
      <c r="H32" s="64" t="n"/>
      <c r="I32" s="64" t="n"/>
      <c r="J32" s="64" t="n"/>
    </row>
    <row r="33" ht="42" customHeight="1" s="54">
      <c r="A33" s="62" t="inlineStr">
        <is>
          <t>SV22</t>
        </is>
      </c>
      <c r="B33" s="63" t="inlineStr">
        <is>
          <t>As a supervisor, I want to verify who's a real member before sharing access.</t>
        </is>
      </c>
      <c r="C33" s="63" t="inlineStr">
        <is>
          <t>Open the Roster and read the attendee badges.</t>
        </is>
      </c>
      <c r="D33" s="63" t="inlineStr">
        <is>
          <t>Each shows their org, or 'Community · unverified'; a warning reminds you to confirm before sharing a building QR.</t>
        </is>
      </c>
      <c r="E33" s="64" t="n"/>
      <c r="F33" s="64" t="n"/>
      <c r="G33" s="64" t="n"/>
      <c r="H33" s="64" t="n"/>
      <c r="I33" s="64" t="n"/>
      <c r="J33" s="64" t="n"/>
    </row>
    <row r="34" ht="42" customHeight="1" s="54">
      <c r="A34" s="62" t="inlineStr">
        <is>
          <t>SV23</t>
        </is>
      </c>
      <c r="B34" s="63" t="inlineStr">
        <is>
          <t>As a supervisor, I want to add a specific student to my event by email.</t>
        </is>
      </c>
      <c r="C34" s="63" t="inlineStr">
        <is>
          <t>Roster → Add a participant → enter their account email → Add.</t>
        </is>
      </c>
      <c r="D34" s="63" t="inlineStr">
        <is>
          <t>They're registered and emailed ('added to &lt;event&gt;'); it appears in their schedule. Works even for a student from another org (you vouch), without opening the event.</t>
        </is>
      </c>
      <c r="E34" s="64" t="n"/>
      <c r="F34" s="64" t="n"/>
      <c r="G34" s="64" t="n"/>
      <c r="H34" s="64" t="n"/>
      <c r="I34" s="64" t="n"/>
      <c r="J34" s="64" t="n"/>
    </row>
    <row r="35" ht="42" customHeight="1" s="54">
      <c r="A35" s="62" t="inlineStr">
        <is>
          <t>SV24</t>
        </is>
      </c>
      <c r="B35" s="63" t="inlineStr">
        <is>
          <t>As the program, a gated event stays closed to non-members who aren't added.</t>
        </is>
      </c>
      <c r="C35" s="63" t="inlineStr">
        <is>
          <t>As a student not in the org, look for the gated event.</t>
        </is>
      </c>
      <c r="D35" s="63" t="inlineStr">
        <is>
          <t>It never appears for self sign-up; only a supervisor can add them.</t>
        </is>
      </c>
      <c r="E35" s="64" t="n"/>
      <c r="F35" s="64" t="n"/>
      <c r="G35" s="64" t="n"/>
      <c r="H35" s="64" t="n"/>
      <c r="I35" s="64" t="n"/>
      <c r="J35" s="64" t="n"/>
    </row>
    <row r="36" ht="20" customHeight="1" s="54">
      <c r="A36" s="61" t="inlineStr">
        <is>
          <t>Cross-cutting</t>
        </is>
      </c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</row>
    <row r="37" ht="42" customHeight="1" s="54">
      <c r="A37" s="62" t="inlineStr">
        <is>
          <t>X1</t>
        </is>
      </c>
      <c r="B37" s="63" t="inlineStr">
        <is>
          <t>As a phone user, I want a usable mobile layout.</t>
        </is>
      </c>
      <c r="C37" s="63" t="inlineStr">
        <is>
          <t>Open at phone width; use the menu drawer.</t>
        </is>
      </c>
      <c r="D37" s="63" t="inlineStr">
        <is>
          <t>Layout adapts; drawer opens/closes; no horizontal scroll.</t>
        </is>
      </c>
      <c r="E37" s="64" t="n"/>
      <c r="F37" s="64" t="n"/>
      <c r="G37" s="64" t="n"/>
      <c r="H37" s="64" t="n"/>
      <c r="I37" s="64" t="n"/>
      <c r="J37" s="64" t="n"/>
    </row>
    <row r="38" ht="42" customHeight="1" s="54">
      <c r="A38" s="62" t="inlineStr">
        <is>
          <t>X2</t>
        </is>
      </c>
      <c r="B38" s="63" t="inlineStr">
        <is>
          <t>As a visitor, I want the recycling ribbon on the login page.</t>
        </is>
      </c>
      <c r="C38" s="63" t="inlineStr">
        <is>
          <t>Open login signed out.</t>
        </is>
      </c>
      <c r="D38" s="63" t="inlineStr">
        <is>
          <t>Green ribbon shows on login.</t>
        </is>
      </c>
      <c r="E38" s="64" t="n"/>
      <c r="F38" s="64" t="n"/>
      <c r="G38" s="64" t="n"/>
      <c r="H38" s="64" t="n"/>
      <c r="I38" s="64" t="n"/>
      <c r="J38" s="64" t="n"/>
    </row>
  </sheetData>
  <mergeCells count="7">
    <mergeCell ref="A1:J1"/>
    <mergeCell ref="A36:J36"/>
    <mergeCell ref="G2:H2"/>
    <mergeCell ref="E2:F2"/>
    <mergeCell ref="I2:J2"/>
    <mergeCell ref="A4:J4"/>
    <mergeCell ref="A11:J11"/>
  </mergeCells>
  <conditionalFormatting sqref="E4:E38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38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conditionalFormatting sqref="I4:I38">
    <cfRule type="cellIs" priority="7" operator="equal" dxfId="3">
      <formula>"Pass"</formula>
    </cfRule>
    <cfRule type="cellIs" priority="8" operator="equal" dxfId="4">
      <formula>"Fail"</formula>
    </cfRule>
    <cfRule type="cellIs" priority="9" operator="equal" dxfId="5">
      <formula>"Blocked"</formula>
    </cfRule>
  </conditionalFormatting>
  <dataValidations count="1">
    <dataValidation sqref="E4:E38 G4:G38 I4:I38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</cols>
  <sheetData>
    <row r="1" ht="26" customHeight="1" s="54">
      <c r="A1" s="56" t="inlineStr">
        <is>
          <t>Test cases — Admin (single organization)</t>
        </is>
      </c>
      <c r="B1" s="57" t="n"/>
      <c r="C1" s="57" t="n"/>
      <c r="D1" s="57" t="n"/>
      <c r="E1" s="57" t="n"/>
      <c r="F1" s="57" t="n"/>
      <c r="G1" s="57" t="n"/>
      <c r="H1" s="57" t="n"/>
    </row>
    <row r="2" ht="30" customHeight="1" s="54">
      <c r="E2" s="58" t="inlineStr">
        <is>
          <t>Tester 1
Platform: ?</t>
        </is>
      </c>
      <c r="F2" s="59" t="n"/>
      <c r="G2" s="58" t="inlineStr">
        <is>
          <t>Tester 2
Platform: ?</t>
        </is>
      </c>
      <c r="H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</row>
    <row r="11" ht="20" customHeight="1" s="54">
      <c r="A11" s="61" t="inlineStr">
        <is>
          <t>Admin (org-scoped)</t>
        </is>
      </c>
      <c r="B11" s="59" t="n"/>
      <c r="C11" s="59" t="n"/>
      <c r="D11" s="59" t="n"/>
      <c r="E11" s="59" t="n"/>
      <c r="F11" s="59" t="n"/>
      <c r="G11" s="59" t="n"/>
      <c r="H11" s="59" t="n"/>
    </row>
    <row r="12" ht="42" customHeight="1" s="54">
      <c r="A12" s="62" t="inlineStr">
        <is>
          <t>AD1</t>
        </is>
      </c>
      <c r="B12" s="63" t="inlineStr">
        <is>
          <t>As an Admin, I want the correct menu tabs.</t>
        </is>
      </c>
      <c r="C12" s="63" t="inlineStr">
        <is>
          <t>Look at the left menu.</t>
        </is>
      </c>
      <c r="D12" s="63" t="inlineStr">
        <is>
          <t>Dashboard, Pending Reviews, Reviewed History, My Events, All Opportunities, Users, Organizations, My Hours, Help.</t>
        </is>
      </c>
      <c r="E12" s="64" t="n"/>
      <c r="F12" s="64" t="n"/>
      <c r="G12" s="64" t="n"/>
      <c r="H12" s="64" t="n"/>
    </row>
    <row r="13" ht="42" customHeight="1" s="54">
      <c r="A13" s="62" t="inlineStr">
        <is>
          <t>AD2</t>
        </is>
      </c>
      <c r="B13" s="63" t="inlineStr">
        <is>
          <t>As an Admin, I can do everything a supervisor can.</t>
        </is>
      </c>
      <c r="C13" s="63" t="inlineStr">
        <is>
          <t>Spot-check: approve an item and create an event.</t>
        </is>
      </c>
      <c r="D13" s="63" t="inlineStr">
        <is>
          <t>Both work.</t>
        </is>
      </c>
      <c r="E13" s="64" t="n"/>
      <c r="F13" s="64" t="n"/>
      <c r="G13" s="64" t="n"/>
      <c r="H13" s="64" t="n"/>
    </row>
    <row r="14" ht="42" customHeight="1" s="54">
      <c r="A14" s="62" t="inlineStr">
        <is>
          <t>AD3</t>
        </is>
      </c>
      <c r="B14" s="63" t="inlineStr">
        <is>
          <t>As an Admin, I only see my org's non-admin users.</t>
        </is>
      </c>
      <c r="C14" s="63" t="inlineStr">
        <is>
          <t>Open Users.</t>
        </is>
      </c>
      <c r="D14" s="63" t="inlineStr">
        <is>
          <t>Only participants/parents/supervisors in your org; no admins/super admins; no other orgs.</t>
        </is>
      </c>
      <c r="E14" s="64" t="n"/>
      <c r="F14" s="64" t="n"/>
      <c r="G14" s="64" t="n"/>
      <c r="H14" s="64" t="n"/>
    </row>
    <row r="15" ht="42" customHeight="1" s="54">
      <c r="A15" s="62" t="inlineStr">
        <is>
          <t>AD4</t>
        </is>
      </c>
      <c r="B15" s="63" t="inlineStr">
        <is>
          <t>As an Admin, I want to add a supervisor.</t>
        </is>
      </c>
      <c r="C15" s="63" t="inlineStr">
        <is>
          <t>Users → Add user → Supervisor → save.</t>
        </is>
      </c>
      <c r="D15" s="63" t="inlineStr">
        <is>
          <t>Supervisor created, stamped to your org; invite email sent.</t>
        </is>
      </c>
      <c r="E15" s="64" t="n"/>
      <c r="F15" s="64" t="n"/>
      <c r="G15" s="64" t="n"/>
      <c r="H15" s="64" t="n"/>
    </row>
    <row r="16" ht="42" customHeight="1" s="54">
      <c r="A16" s="62" t="inlineStr">
        <is>
          <t>AD5</t>
        </is>
      </c>
      <c r="B16" s="63" t="inlineStr">
        <is>
          <t>As an Admin, I want to create a participant as a fallback.</t>
        </is>
      </c>
      <c r="C16" s="63" t="inlineStr">
        <is>
          <t>Users → Add user → Participant → save.</t>
        </is>
      </c>
      <c r="D16" s="63" t="inlineStr">
        <is>
          <t>Participant created with a set-password invite (no silent password).</t>
        </is>
      </c>
      <c r="E16" s="64" t="n"/>
      <c r="F16" s="64" t="n"/>
      <c r="G16" s="64" t="n"/>
      <c r="H16" s="64" t="n"/>
    </row>
    <row r="17" ht="42" customHeight="1" s="54">
      <c r="A17" s="62" t="inlineStr">
        <is>
          <t>AD6</t>
        </is>
      </c>
      <c r="B17" s="63" t="inlineStr">
        <is>
          <t>As an Admin, I want to grant participant hours.</t>
        </is>
      </c>
      <c r="C17" s="63" t="inlineStr">
        <is>
          <t>Open a participant in your org → Add hours.</t>
        </is>
      </c>
      <c r="D17" s="63" t="inlineStr">
        <is>
          <t>Hours auto-approved; count toward their total/medals.</t>
        </is>
      </c>
      <c r="E17" s="64" t="n"/>
      <c r="F17" s="64" t="n"/>
      <c r="G17" s="64" t="n"/>
      <c r="H17" s="64" t="n"/>
    </row>
    <row r="18" ht="42" customHeight="1" s="54">
      <c r="A18" s="62" t="inlineStr">
        <is>
          <t>AD7</t>
        </is>
      </c>
      <c r="B18" s="63" t="inlineStr">
        <is>
          <t>As an Admin, I want a participant's service record.</t>
        </is>
      </c>
      <c r="C18" s="63" t="inlineStr">
        <is>
          <t>Users → Service record for a participant in your org.</t>
        </is>
      </c>
      <c r="D18" s="63" t="inlineStr">
        <is>
          <t>Record opens.</t>
        </is>
      </c>
      <c r="E18" s="64" t="n"/>
      <c r="F18" s="64" t="n"/>
      <c r="G18" s="64" t="n"/>
      <c r="H18" s="64" t="n"/>
    </row>
    <row r="19" ht="42" customHeight="1" s="54">
      <c r="A19" s="62" t="inlineStr">
        <is>
          <t>AD8</t>
        </is>
      </c>
      <c r="B19" s="63" t="inlineStr">
        <is>
          <t>As an Admin, I want to edit/delete my org's users.</t>
        </is>
      </c>
      <c r="C19" s="63" t="inlineStr">
        <is>
          <t>Edit a name/phone; delete a test user.</t>
        </is>
      </c>
      <c r="D19" s="63" t="inlineStr">
        <is>
          <t>Changes apply within your org.</t>
        </is>
      </c>
      <c r="E19" s="64" t="n"/>
      <c r="F19" s="64" t="n"/>
      <c r="G19" s="64" t="n"/>
      <c r="H19" s="64" t="n"/>
    </row>
    <row r="20" ht="42" customHeight="1" s="54">
      <c r="A20" s="62" t="inlineStr">
        <is>
          <t>AD9</t>
        </is>
      </c>
      <c r="B20" s="63" t="inlineStr">
        <is>
          <t>As an Admin, I must NOT act on users outside my org.</t>
        </is>
      </c>
      <c r="C20" s="63" t="inlineStr">
        <is>
          <t>Attempt to reach another org's user (e.g. direct URL).</t>
        </is>
      </c>
      <c r="D20" s="63" t="inlineStr">
        <is>
          <t>Blocked / not visible.</t>
        </is>
      </c>
      <c r="E20" s="64" t="n"/>
      <c r="F20" s="64" t="n"/>
      <c r="G20" s="64" t="n"/>
      <c r="H20" s="64" t="n"/>
    </row>
    <row r="21" ht="42" customHeight="1" s="54">
      <c r="A21" s="62" t="inlineStr">
        <is>
          <t>AD10</t>
        </is>
      </c>
      <c r="B21" s="63" t="inlineStr">
        <is>
          <t>As an Admin, I cannot grant Admin access or manage admins.</t>
        </is>
      </c>
      <c r="C21" s="63" t="inlineStr">
        <is>
          <t>Look for the 'grant Admin access' action.</t>
        </is>
      </c>
      <c r="D21" s="63" t="inlineStr">
        <is>
          <t>No such button; attempts are blocked server-side.</t>
        </is>
      </c>
      <c r="E21" s="64" t="n"/>
      <c r="F21" s="64" t="n"/>
      <c r="G21" s="64" t="n"/>
      <c r="H21" s="64" t="n"/>
    </row>
    <row r="22" ht="42" customHeight="1" s="54">
      <c r="A22" s="62" t="inlineStr">
        <is>
          <t>AD11</t>
        </is>
      </c>
      <c r="B22" s="63" t="inlineStr">
        <is>
          <t>As an Admin, I see and edit only my own organization.</t>
        </is>
      </c>
      <c r="C22" s="63" t="inlineStr">
        <is>
          <t>Open Organizations.</t>
        </is>
      </c>
      <c r="D22" s="63" t="inlineStr">
        <is>
          <t>Only your org shows; you can edit its settings.</t>
        </is>
      </c>
      <c r="E22" s="64" t="n"/>
      <c r="F22" s="64" t="n"/>
      <c r="G22" s="64" t="n"/>
      <c r="H22" s="64" t="n"/>
    </row>
    <row r="23" ht="42" customHeight="1" s="54">
      <c r="A23" s="62" t="inlineStr">
        <is>
          <t>AD12</t>
        </is>
      </c>
      <c r="B23" s="63" t="inlineStr">
        <is>
          <t>As an Admin, I want to generate/rotate my org's join code.</t>
        </is>
      </c>
      <c r="C23" s="63" t="inlineStr">
        <is>
          <t>Organizations → set/generate a join code → save.</t>
        </is>
      </c>
      <c r="D23" s="63" t="inlineStr">
        <is>
          <t>Join code saved; usable at sign-up.</t>
        </is>
      </c>
      <c r="E23" s="64" t="n"/>
      <c r="F23" s="64" t="n"/>
      <c r="G23" s="64" t="n"/>
      <c r="H23" s="64" t="n"/>
    </row>
    <row r="24" ht="42" customHeight="1" s="54">
      <c r="A24" s="62" t="inlineStr">
        <is>
          <t>AD13</t>
        </is>
      </c>
      <c r="B24" s="63" t="inlineStr">
        <is>
          <t>As an Admin, I cannot create organizations.</t>
        </is>
      </c>
      <c r="C24" s="63" t="inlineStr">
        <is>
          <t>Look for 'Add organization'.</t>
        </is>
      </c>
      <c r="D24" s="63" t="inlineStr">
        <is>
          <t>No Add button; creation blocked.</t>
        </is>
      </c>
      <c r="E24" s="64" t="n"/>
      <c r="F24" s="64" t="n"/>
      <c r="G24" s="64" t="n"/>
      <c r="H24" s="64" t="n"/>
    </row>
    <row r="25" ht="42" customHeight="1" s="54">
      <c r="A25" s="62" t="inlineStr">
        <is>
          <t>AD14</t>
        </is>
      </c>
      <c r="B25" s="63" t="inlineStr">
        <is>
          <t>As an Admin, I cannot change the recycling cans total.</t>
        </is>
      </c>
      <c r="C25" s="63" t="inlineStr">
        <is>
          <t>Look for the cans/bin admin control.</t>
        </is>
      </c>
      <c r="D25" s="63" t="inlineStr">
        <is>
          <t>Not available (Super Admin only).</t>
        </is>
      </c>
      <c r="E25" s="64" t="n"/>
      <c r="F25" s="64" t="n"/>
      <c r="G25" s="64" t="n"/>
      <c r="H25" s="64" t="n"/>
    </row>
    <row r="26" ht="42" customHeight="1" s="54">
      <c r="A26" s="62" t="inlineStr">
        <is>
          <t>AD15</t>
        </is>
      </c>
      <c r="B26" s="63" t="inlineStr">
        <is>
          <t>As an Admin, I can turn my activity emails off.</t>
        </is>
      </c>
      <c r="C26" s="63" t="inlineStr">
        <is>
          <t>Dashboard → Email notifications toggle off; have a student sign up for your event.</t>
        </is>
      </c>
      <c r="D26" s="63" t="inlineStr">
        <is>
          <t>No sign-up email arrives while off; turning it back on resumes them.</t>
        </is>
      </c>
      <c r="E26" s="64" t="n"/>
      <c r="F26" s="64" t="n"/>
      <c r="G26" s="64" t="n"/>
      <c r="H26" s="64" t="n"/>
    </row>
    <row r="27" ht="42" customHeight="1" s="54">
      <c r="A27" s="62" t="inlineStr">
        <is>
          <t>AD16</t>
        </is>
      </c>
      <c r="B27" s="63" t="inlineStr">
        <is>
          <t>As an Admin creating a user, I choose among only my org(s).</t>
        </is>
      </c>
      <c r="C27" s="63" t="inlineStr">
        <is>
          <t>Add user → Organization picker.</t>
        </is>
      </c>
      <c r="D27" s="63" t="inlineStr">
        <is>
          <t>Only the org(s) I manage are listed (Super Admins see all + 'none').</t>
        </is>
      </c>
      <c r="E27" s="64" t="n"/>
      <c r="F27" s="64" t="n"/>
      <c r="G27" s="64" t="n"/>
      <c r="H27" s="64" t="n"/>
    </row>
    <row r="28" ht="20" customHeight="1" s="54">
      <c r="A28" s="61" t="inlineStr">
        <is>
          <t>Cross-cutting</t>
        </is>
      </c>
      <c r="B28" s="59" t="n"/>
      <c r="C28" s="59" t="n"/>
      <c r="D28" s="59" t="n"/>
      <c r="E28" s="59" t="n"/>
      <c r="F28" s="59" t="n"/>
      <c r="G28" s="59" t="n"/>
      <c r="H28" s="59" t="n"/>
    </row>
    <row r="29" ht="42" customHeight="1" s="54">
      <c r="A29" s="62" t="inlineStr">
        <is>
          <t>X1</t>
        </is>
      </c>
      <c r="B29" s="63" t="inlineStr">
        <is>
          <t>As a phone user, I want a usable mobile layout.</t>
        </is>
      </c>
      <c r="C29" s="63" t="inlineStr">
        <is>
          <t>Open at phone width; use the menu drawer.</t>
        </is>
      </c>
      <c r="D29" s="63" t="inlineStr">
        <is>
          <t>Layout adapts; drawer opens/closes; no horizontal scroll.</t>
        </is>
      </c>
      <c r="E29" s="64" t="n"/>
      <c r="F29" s="64" t="n"/>
      <c r="G29" s="64" t="n"/>
      <c r="H29" s="64" t="n"/>
    </row>
    <row r="30" ht="42" customHeight="1" s="54">
      <c r="A30" s="62" t="inlineStr">
        <is>
          <t>X2</t>
        </is>
      </c>
      <c r="B30" s="63" t="inlineStr">
        <is>
          <t>As a visitor, I want the recycling ribbon on the login page.</t>
        </is>
      </c>
      <c r="C30" s="63" t="inlineStr">
        <is>
          <t>Open login signed out.</t>
        </is>
      </c>
      <c r="D30" s="63" t="inlineStr">
        <is>
          <t>Green ribbon shows on login.</t>
        </is>
      </c>
      <c r="E30" s="64" t="n"/>
      <c r="F30" s="64" t="n"/>
      <c r="G30" s="64" t="n"/>
      <c r="H30" s="64" t="n"/>
    </row>
  </sheetData>
  <mergeCells count="6">
    <mergeCell ref="A4:H4"/>
    <mergeCell ref="G2:H2"/>
    <mergeCell ref="E2:F2"/>
    <mergeCell ref="A28:H28"/>
    <mergeCell ref="A11:H11"/>
    <mergeCell ref="A1:H1"/>
  </mergeCells>
  <conditionalFormatting sqref="E4:E30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30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dataValidations count="1">
    <dataValidation sqref="E4:E30 G4:G30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54" min="1" max="1"/>
    <col width="56" customWidth="1" style="54" min="2" max="2"/>
    <col width="50" customWidth="1" style="54" min="3" max="3"/>
    <col width="50" customWidth="1" style="54" min="4" max="4"/>
    <col width="13" customWidth="1" style="54" min="5" max="5"/>
    <col width="30" customWidth="1" style="54" min="6" max="6"/>
    <col width="13" customWidth="1" style="54" min="7" max="7"/>
    <col width="30" customWidth="1" style="54" min="8" max="8"/>
  </cols>
  <sheetData>
    <row r="1" ht="26" customHeight="1" s="54">
      <c r="A1" s="56" t="inlineStr">
        <is>
          <t>Test cases — Super Admin (whole program)</t>
        </is>
      </c>
      <c r="B1" s="57" t="n"/>
      <c r="C1" s="57" t="n"/>
      <c r="D1" s="57" t="n"/>
      <c r="E1" s="57" t="n"/>
      <c r="F1" s="57" t="n"/>
      <c r="G1" s="57" t="n"/>
      <c r="H1" s="57" t="n"/>
    </row>
    <row r="2" ht="30" customHeight="1" s="54">
      <c r="E2" s="58" t="inlineStr">
        <is>
          <t>Tester 1
Platform: ?</t>
        </is>
      </c>
      <c r="F2" s="59" t="n"/>
      <c r="G2" s="58" t="inlineStr">
        <is>
          <t>Tester 2
Platform: ?</t>
        </is>
      </c>
      <c r="H2" s="59" t="n"/>
    </row>
    <row r="3" ht="28" customHeight="1" s="54">
      <c r="A3" s="60" t="inlineStr">
        <is>
          <t>ID</t>
        </is>
      </c>
      <c r="B3" s="60" t="inlineStr">
        <is>
          <t>User story</t>
        </is>
      </c>
      <c r="C3" s="60" t="inlineStr">
        <is>
          <t>Steps to perform</t>
        </is>
      </c>
      <c r="D3" s="60" t="inlineStr">
        <is>
          <t>Expected behavior (what you should see)</t>
        </is>
      </c>
      <c r="E3" s="60" t="inlineStr">
        <is>
          <t>Result</t>
        </is>
      </c>
      <c r="F3" s="60" t="inlineStr">
        <is>
          <t>Comments</t>
        </is>
      </c>
      <c r="G3" s="60" t="inlineStr">
        <is>
          <t>Result</t>
        </is>
      </c>
      <c r="H3" s="60" t="inlineStr">
        <is>
          <t>Comments</t>
        </is>
      </c>
    </row>
    <row r="4" ht="20" customHeight="1" s="54">
      <c r="A4" s="61" t="inlineStr">
        <is>
          <t>Account &amp; access (all roles)</t>
        </is>
      </c>
      <c r="B4" s="59" t="n"/>
      <c r="C4" s="59" t="n"/>
      <c r="D4" s="59" t="n"/>
      <c r="E4" s="59" t="n"/>
      <c r="F4" s="59" t="n"/>
      <c r="G4" s="59" t="n"/>
      <c r="H4" s="59" t="n"/>
    </row>
    <row r="5" ht="42" customHeight="1" s="54">
      <c r="A5" s="62" t="inlineStr">
        <is>
          <t>AC1</t>
        </is>
      </c>
      <c r="B5" s="63" t="inlineStr">
        <is>
          <t>As any user, I want to log in with email and password.</t>
        </is>
      </c>
      <c r="C5" s="63" t="inlineStr">
        <is>
          <t>Enter valid email/password and Sign in.</t>
        </is>
      </c>
      <c r="D5" s="63" t="inlineStr">
        <is>
          <t>You're signed in and taken to your role's home.</t>
        </is>
      </c>
      <c r="E5" s="64" t="n"/>
      <c r="F5" s="64" t="n"/>
      <c r="G5" s="64" t="n"/>
      <c r="H5" s="64" t="n"/>
    </row>
    <row r="6" ht="42" customHeight="1" s="54">
      <c r="A6" s="62" t="inlineStr">
        <is>
          <t>AC2</t>
        </is>
      </c>
      <c r="B6" s="63" t="inlineStr">
        <is>
          <t>As any user, I want to reveal my password while typing.</t>
        </is>
      </c>
      <c r="C6" s="63" t="inlineStr">
        <is>
          <t>Tap the eye icon in the password field.</t>
        </is>
      </c>
      <c r="D6" s="63" t="inlineStr">
        <is>
          <t>Password text toggles visible/hidden.</t>
        </is>
      </c>
      <c r="E6" s="64" t="n"/>
      <c r="F6" s="64" t="n"/>
      <c r="G6" s="64" t="n"/>
      <c r="H6" s="64" t="n"/>
    </row>
    <row r="7" ht="42" customHeight="1" s="54">
      <c r="A7" s="62" t="inlineStr">
        <is>
          <t>AC3</t>
        </is>
      </c>
      <c r="B7" s="63" t="inlineStr">
        <is>
          <t>As any user, I want to reset a forgotten password by email.</t>
        </is>
      </c>
      <c r="C7" s="63" t="inlineStr">
        <is>
          <t>Forgot password → enter email → open email → follow link → set new password → sign in.</t>
        </is>
      </c>
      <c r="D7" s="63" t="inlineStr">
        <is>
          <t>Reset email arrives; link works; new password signs in; old one fails.</t>
        </is>
      </c>
      <c r="E7" s="64" t="n"/>
      <c r="F7" s="64" t="n"/>
      <c r="G7" s="64" t="n"/>
      <c r="H7" s="64" t="n"/>
    </row>
    <row r="8" ht="42" customHeight="1" s="54">
      <c r="A8" s="62" t="inlineStr">
        <is>
          <t>AC4</t>
        </is>
      </c>
      <c r="B8" s="63" t="inlineStr">
        <is>
          <t>As any user, I want to sign out.</t>
        </is>
      </c>
      <c r="C8" s="63" t="inlineStr">
        <is>
          <t>Use Sign out.</t>
        </is>
      </c>
      <c r="D8" s="63" t="inlineStr">
        <is>
          <t>Logged out; returned to login/landing.</t>
        </is>
      </c>
      <c r="E8" s="64" t="n"/>
      <c r="F8" s="64" t="n"/>
      <c r="G8" s="64" t="n"/>
      <c r="H8" s="64" t="n"/>
    </row>
    <row r="9" ht="42" customHeight="1" s="54">
      <c r="A9" s="62" t="inlineStr">
        <is>
          <t>AC5</t>
        </is>
      </c>
      <c r="B9" s="63" t="inlineStr">
        <is>
          <t>As any user, I want a clear error for bad credentials.</t>
        </is>
      </c>
      <c r="C9" s="63" t="inlineStr">
        <is>
          <t>Enter a wrong password.</t>
        </is>
      </c>
      <c r="D9" s="63" t="inlineStr">
        <is>
          <t>Clear 'login failed' message; stay on login.</t>
        </is>
      </c>
      <c r="E9" s="64" t="n"/>
      <c r="F9" s="64" t="n"/>
      <c r="G9" s="64" t="n"/>
      <c r="H9" s="64" t="n"/>
    </row>
    <row r="10" ht="42" customHeight="1" s="54">
      <c r="A10" s="62" t="inlineStr">
        <is>
          <t>AC6</t>
        </is>
      </c>
      <c r="B10" s="63" t="inlineStr">
        <is>
          <t>As any user, my session persists and protected pages are guarded.</t>
        </is>
      </c>
      <c r="C10" s="63" t="inlineStr">
        <is>
          <t>Sign in, refresh; then sign out and open a protected URL directly.</t>
        </is>
      </c>
      <c r="D10" s="63" t="inlineStr">
        <is>
          <t>Refresh stays signed in; protected pages redirect to login when signed out.</t>
        </is>
      </c>
      <c r="E10" s="64" t="n"/>
      <c r="F10" s="64" t="n"/>
      <c r="G10" s="64" t="n"/>
      <c r="H10" s="64" t="n"/>
    </row>
    <row r="11" ht="20" customHeight="1" s="54">
      <c r="A11" s="61" t="inlineStr">
        <is>
          <t>Super Admin (global)</t>
        </is>
      </c>
      <c r="B11" s="59" t="n"/>
      <c r="C11" s="59" t="n"/>
      <c r="D11" s="59" t="n"/>
      <c r="E11" s="59" t="n"/>
      <c r="F11" s="59" t="n"/>
      <c r="G11" s="59" t="n"/>
      <c r="H11" s="59" t="n"/>
    </row>
    <row r="12" ht="42" customHeight="1" s="54">
      <c r="A12" s="62" t="inlineStr">
        <is>
          <t>SA1</t>
        </is>
      </c>
      <c r="B12" s="63" t="inlineStr">
        <is>
          <t>As a Super Admin, I want the correct menu tabs.</t>
        </is>
      </c>
      <c r="C12" s="63" t="inlineStr">
        <is>
          <t>Look at the left menu.</t>
        </is>
      </c>
      <c r="D12" s="63" t="inlineStr">
        <is>
          <t>Dashboard, Reports, Users, Events, Organizations, Award Thresholds, Audit Log (Help in footer).</t>
        </is>
      </c>
      <c r="E12" s="64" t="n"/>
      <c r="F12" s="64" t="n"/>
      <c r="G12" s="64" t="n"/>
      <c r="H12" s="64" t="n"/>
    </row>
    <row r="13" ht="42" customHeight="1" s="54">
      <c r="A13" s="62" t="inlineStr">
        <is>
          <t>SA2</t>
        </is>
      </c>
      <c r="B13" s="63" t="inlineStr">
        <is>
          <t>As a Super Admin, I can do everything an Admin can, across all orgs.</t>
        </is>
      </c>
      <c r="C13" s="63" t="inlineStr">
        <is>
          <t>Spot-check user + org actions on more than one org.</t>
        </is>
      </c>
      <c r="D13" s="63" t="inlineStr">
        <is>
          <t>All allowed regardless of org.</t>
        </is>
      </c>
      <c r="E13" s="64" t="n"/>
      <c r="F13" s="64" t="n"/>
      <c r="G13" s="64" t="n"/>
      <c r="H13" s="64" t="n"/>
    </row>
    <row r="14" ht="42" customHeight="1" s="54">
      <c r="A14" s="62" t="inlineStr">
        <is>
          <t>SA3</t>
        </is>
      </c>
      <c r="B14" s="63" t="inlineStr">
        <is>
          <t>As a Super Admin, I want to create users of any role.</t>
        </is>
      </c>
      <c r="C14" s="63" t="inlineStr">
        <is>
          <t>Users → Add user → open the Role list.</t>
        </is>
      </c>
      <c r="D14" s="63" t="inlineStr">
        <is>
          <t>Participant, Supervisor, Admin, and Super Admin options are all available; account created + invite email.</t>
        </is>
      </c>
      <c r="E14" s="64" t="n"/>
      <c r="F14" s="64" t="n"/>
      <c r="G14" s="64" t="n"/>
      <c r="H14" s="64" t="n"/>
    </row>
    <row r="15" ht="42" customHeight="1" s="54">
      <c r="A15" s="62" t="inlineStr">
        <is>
          <t>SA4</t>
        </is>
      </c>
      <c r="B15" s="63" t="inlineStr">
        <is>
          <t>As a Super Admin, I want to grant/revoke Admin access.</t>
        </is>
      </c>
      <c r="C15" s="63" t="inlineStr">
        <is>
          <t>Open a user → grant Admin access → check org(s) → save; then uncheck all → save.</t>
        </is>
      </c>
      <c r="D15" s="63" t="inlineStr">
        <is>
          <t>Checking orgs makes an Admin; unchecking all reverts to participant.</t>
        </is>
      </c>
      <c r="E15" s="64" t="n"/>
      <c r="F15" s="64" t="n"/>
      <c r="G15" s="64" t="n"/>
      <c r="H15" s="64" t="n"/>
    </row>
    <row r="16" ht="42" customHeight="1" s="54">
      <c r="A16" s="62" t="inlineStr">
        <is>
          <t>SA5</t>
        </is>
      </c>
      <c r="B16" s="63" t="inlineStr">
        <is>
          <t>As a Super Admin, I want to create organizations + join codes.</t>
        </is>
      </c>
      <c r="C16" s="63" t="inlineStr">
        <is>
          <t>Organizations → Add organization → set details + join code.</t>
        </is>
      </c>
      <c r="D16" s="63" t="inlineStr">
        <is>
          <t>Org created with its join code.</t>
        </is>
      </c>
      <c r="E16" s="64" t="n"/>
      <c r="F16" s="64" t="n"/>
      <c r="G16" s="64" t="n"/>
      <c r="H16" s="64" t="n"/>
    </row>
    <row r="17" ht="42" customHeight="1" s="54">
      <c r="A17" s="62" t="inlineStr">
        <is>
          <t>SA6</t>
        </is>
      </c>
      <c r="B17" s="63" t="inlineStr">
        <is>
          <t>As a Super Admin, I want to find users by type.</t>
        </is>
      </c>
      <c r="C17" s="63" t="inlineStr">
        <is>
          <t>Users → role filter pills + search.</t>
        </is>
      </c>
      <c r="D17" s="63" t="inlineStr">
        <is>
          <t>Filter by role with counts; search by name/email across all orgs.</t>
        </is>
      </c>
      <c r="E17" s="64" t="n"/>
      <c r="F17" s="64" t="n"/>
      <c r="G17" s="64" t="n"/>
      <c r="H17" s="64" t="n"/>
    </row>
    <row r="18" ht="42" customHeight="1" s="54">
      <c r="A18" s="62" t="inlineStr">
        <is>
          <t>SA7</t>
        </is>
      </c>
      <c r="B18" s="63" t="inlineStr">
        <is>
          <t>As a Super Admin, I want to search events.</t>
        </is>
      </c>
      <c r="C18" s="63" t="inlineStr">
        <is>
          <t>Events → search + date range; check supervisor/org per card.</t>
        </is>
      </c>
      <c r="D18" s="63" t="inlineStr">
        <is>
          <t>Filters work; each event shows supervisor and organization.</t>
        </is>
      </c>
      <c r="E18" s="64" t="n"/>
      <c r="F18" s="64" t="n"/>
      <c r="G18" s="64" t="n"/>
      <c r="H18" s="64" t="n"/>
    </row>
    <row r="19" ht="42" customHeight="1" s="54">
      <c r="A19" s="62" t="inlineStr">
        <is>
          <t>SA8</t>
        </is>
      </c>
      <c r="B19" s="63" t="inlineStr">
        <is>
          <t>As a Super Admin, I want clear event-visibility labels.</t>
        </is>
      </c>
      <c r="C19" s="63" t="inlineStr">
        <is>
          <t>New Event → 'Who can see this'.</t>
        </is>
      </c>
      <c r="D19" s="63" t="inlineStr">
        <is>
          <t>'Open to all (community)' and 'Only &lt;org&gt; students' with helper text.</t>
        </is>
      </c>
      <c r="E19" s="64" t="n"/>
      <c r="F19" s="64" t="n"/>
      <c r="G19" s="64" t="n"/>
      <c r="H19" s="64" t="n"/>
    </row>
    <row r="20" ht="42" customHeight="1" s="54">
      <c r="A20" s="62" t="inlineStr">
        <is>
          <t>SA9</t>
        </is>
      </c>
      <c r="B20" s="63" t="inlineStr">
        <is>
          <t>As a Super Admin, I want program-wide reports.</t>
        </is>
      </c>
      <c r="C20" s="63" t="inlineStr">
        <is>
          <t>Open Reports / Dashboard.</t>
        </is>
      </c>
      <c r="D20" s="63" t="inlineStr">
        <is>
          <t>Totals and charts across the whole program.</t>
        </is>
      </c>
      <c r="E20" s="64" t="n"/>
      <c r="F20" s="64" t="n"/>
      <c r="G20" s="64" t="n"/>
      <c r="H20" s="64" t="n"/>
    </row>
    <row r="21" ht="42" customHeight="1" s="54">
      <c r="A21" s="62" t="inlineStr">
        <is>
          <t>SA10</t>
        </is>
      </c>
      <c r="B21" s="63" t="inlineStr">
        <is>
          <t>As a Super Admin, I want to verify email works.</t>
        </is>
      </c>
      <c r="C21" s="63" t="inlineStr">
        <is>
          <t>Dashboard → Send test email.</t>
        </is>
      </c>
      <c r="D21" s="63" t="inlineStr">
        <is>
          <t>Result shown (success or the exact failure reason).</t>
        </is>
      </c>
      <c r="E21" s="64" t="n"/>
      <c r="F21" s="64" t="n"/>
      <c r="G21" s="64" t="n"/>
      <c r="H21" s="64" t="n"/>
    </row>
    <row r="22" ht="42" customHeight="1" s="54">
      <c r="A22" s="62" t="inlineStr">
        <is>
          <t>SA11</t>
        </is>
      </c>
      <c r="B22" s="63" t="inlineStr">
        <is>
          <t>As a Super Admin, I want to update the recycling cans total.</t>
        </is>
      </c>
      <c r="C22" s="63" t="inlineStr">
        <is>
          <t>Use the cans/bin admin control.</t>
        </is>
      </c>
      <c r="D22" s="63" t="inlineStr">
        <is>
          <t>Total updates; the ribbon reflects it.</t>
        </is>
      </c>
      <c r="E22" s="64" t="n"/>
      <c r="F22" s="64" t="n"/>
      <c r="G22" s="64" t="n"/>
      <c r="H22" s="64" t="n"/>
    </row>
    <row r="23" ht="42" customHeight="1" s="54">
      <c r="A23" s="62" t="inlineStr">
        <is>
          <t>SA12</t>
        </is>
      </c>
      <c r="B23" s="63" t="inlineStr">
        <is>
          <t>As a Super Admin, I want hours + records for any user.</t>
        </is>
      </c>
      <c r="C23" s="63" t="inlineStr">
        <is>
          <t>Add manual hours / open service record for any participant.</t>
        </is>
      </c>
      <c r="D23" s="63" t="inlineStr">
        <is>
          <t>Works for any org.</t>
        </is>
      </c>
      <c r="E23" s="64" t="n"/>
      <c r="F23" s="64" t="n"/>
      <c r="G23" s="64" t="n"/>
      <c r="H23" s="64" t="n"/>
    </row>
    <row r="24" ht="42" customHeight="1" s="54">
      <c r="A24" s="62" t="inlineStr">
        <is>
          <t>SA13</t>
        </is>
      </c>
      <c r="B24" s="63" t="inlineStr">
        <is>
          <t>As a Super Admin, I want to set award thresholds by grade band and/or org.</t>
        </is>
      </c>
      <c r="C24" s="63" t="inlineStr">
        <is>
          <t>Award Thresholds → add a rule (e.g. Elementary 20/30/40) → save.</t>
        </is>
      </c>
      <c r="D24" s="63" t="inlineStr">
        <is>
          <t>Rule saved; an affected participant's dashboard/reports show the new bars; leaderboard/record medals follow.</t>
        </is>
      </c>
      <c r="E24" s="64" t="n"/>
      <c r="F24" s="64" t="n"/>
      <c r="G24" s="64" t="n"/>
      <c r="H24" s="64" t="n"/>
    </row>
    <row r="25" ht="42" customHeight="1" s="54">
      <c r="A25" s="62" t="inlineStr">
        <is>
          <t>SA14</t>
        </is>
      </c>
      <c r="B25" s="63" t="inlineStr">
        <is>
          <t>As a Super Admin, I want an audit log of key actions.</t>
        </is>
      </c>
      <c r="C25" s="63" t="inlineStr">
        <is>
          <t>Do an action (create user, grant hours, edit org) → open Audit Log.</t>
        </is>
      </c>
      <c r="D25" s="63" t="inlineStr">
        <is>
          <t>The action appears with who/when; search + action filters work.</t>
        </is>
      </c>
      <c r="E25" s="64" t="n"/>
      <c r="F25" s="64" t="n"/>
      <c r="G25" s="64" t="n"/>
      <c r="H25" s="64" t="n"/>
    </row>
    <row r="26" ht="42" customHeight="1" s="54">
      <c r="A26" s="62" t="inlineStr">
        <is>
          <t>SA15</t>
        </is>
      </c>
      <c r="B26" s="63" t="inlineStr">
        <is>
          <t>As a Super Admin, deleting a supervisor who runs events is blocked.</t>
        </is>
      </c>
      <c r="C26" s="63" t="inlineStr">
        <is>
          <t>Try to delete a supervisor who supervises 1+ events.</t>
        </is>
      </c>
      <c r="D26" s="63" t="inlineStr">
        <is>
          <t>Blocked with a clear message to reassign or remove their events first (events/hours preserved).</t>
        </is>
      </c>
      <c r="E26" s="64" t="n"/>
      <c r="F26" s="64" t="n"/>
      <c r="G26" s="64" t="n"/>
      <c r="H26" s="64" t="n"/>
    </row>
    <row r="27" ht="42" customHeight="1" s="54">
      <c r="A27" s="62" t="inlineStr">
        <is>
          <t>SA16</t>
        </is>
      </c>
      <c r="B27" s="63" t="inlineStr">
        <is>
          <t>As a Super Admin, I want to reassign a supervisor's events, then delete them.</t>
        </is>
      </c>
      <c r="C27" s="63" t="inlineStr">
        <is>
          <t>Users → Reassign events → pick another supervisor → confirm; then delete the original.</t>
        </is>
      </c>
      <c r="D27" s="63" t="inlineStr">
        <is>
          <t>Events move to the new supervisor; the original can then be deleted.</t>
        </is>
      </c>
      <c r="E27" s="64" t="n"/>
      <c r="F27" s="64" t="n"/>
      <c r="G27" s="64" t="n"/>
      <c r="H27" s="64" t="n"/>
    </row>
    <row r="28" ht="42" customHeight="1" s="54">
      <c r="A28" s="62" t="inlineStr">
        <is>
          <t>SA17</t>
        </is>
      </c>
      <c r="B28" s="63" t="inlineStr">
        <is>
          <t>As a Super Admin, creating a user auto-fills a temp password per role and emails an invite.</t>
        </is>
      </c>
      <c r="C28" s="63" t="inlineStr">
        <is>
          <t>Add user; change the Role and watch the temp password auto-fill (Supervisor→Supervisor123!, Participant→Participant123!, Admin→Admin123!, Super Admin→SuperAdmin123!); save.</t>
        </is>
      </c>
      <c r="D28" s="63" t="inlineStr">
        <is>
          <t>Password auto-fills to match the role (and is editable); the browser does NOT autofill your own email/password; account created; the person gets a set-password invite email.</t>
        </is>
      </c>
      <c r="E28" s="64" t="n"/>
      <c r="F28" s="64" t="n"/>
      <c r="G28" s="64" t="n"/>
      <c r="H28" s="64" t="n"/>
    </row>
    <row r="29" ht="42" customHeight="1" s="54">
      <c r="A29" s="62" t="inlineStr">
        <is>
          <t>SA18</t>
        </is>
      </c>
      <c r="B29" s="63" t="inlineStr">
        <is>
          <t>As a Super Admin, I want to assign an org when creating a user.</t>
        </is>
      </c>
      <c r="C29" s="63" t="inlineStr">
        <is>
          <t>Add user → choose an Organization (or 'No specific organization') → save.</t>
        </is>
      </c>
      <c r="D29" s="63" t="inlineStr">
        <is>
          <t>The Organization field is shown; the user is stamped to that org. Creating an 'Admin' with an org makes them manage that org.</t>
        </is>
      </c>
      <c r="E29" s="64" t="n"/>
      <c r="F29" s="64" t="n"/>
      <c r="G29" s="64" t="n"/>
      <c r="H29" s="64" t="n"/>
    </row>
    <row r="30" ht="42" customHeight="1" s="54">
      <c r="A30" s="62" t="inlineStr">
        <is>
          <t>SA19</t>
        </is>
      </c>
      <c r="B30" s="63" t="inlineStr">
        <is>
          <t>As a Super Admin, I want to add a specific participant to an event by email.</t>
        </is>
      </c>
      <c r="C30" s="63" t="inlineStr">
        <is>
          <t>Open an event's Roster → Add a participant → enter a participant's account email → Add.</t>
        </is>
      </c>
      <c r="D30" s="63" t="inlineStr">
        <is>
          <t>They're registered and emailed ('added to &lt;event&gt;'); it appears in their schedule. A managed elementary child (no email) can't be added this way — a guardian signs them up instead.</t>
        </is>
      </c>
      <c r="E30" s="64" t="n"/>
      <c r="F30" s="64" t="n"/>
      <c r="G30" s="64" t="n"/>
      <c r="H30" s="64" t="n"/>
    </row>
    <row r="31" ht="20" customHeight="1" s="54">
      <c r="A31" s="61" t="inlineStr">
        <is>
          <t>Cross-cutting</t>
        </is>
      </c>
      <c r="B31" s="59" t="n"/>
      <c r="C31" s="59" t="n"/>
      <c r="D31" s="59" t="n"/>
      <c r="E31" s="59" t="n"/>
      <c r="F31" s="59" t="n"/>
      <c r="G31" s="59" t="n"/>
      <c r="H31" s="59" t="n"/>
    </row>
    <row r="32" ht="42" customHeight="1" s="54">
      <c r="A32" s="62" t="inlineStr">
        <is>
          <t>X1</t>
        </is>
      </c>
      <c r="B32" s="63" t="inlineStr">
        <is>
          <t>As a phone user, I want a usable mobile layout.</t>
        </is>
      </c>
      <c r="C32" s="63" t="inlineStr">
        <is>
          <t>Open at phone width; use the menu drawer.</t>
        </is>
      </c>
      <c r="D32" s="63" t="inlineStr">
        <is>
          <t>Layout adapts; drawer opens/closes; no horizontal scroll.</t>
        </is>
      </c>
      <c r="E32" s="64" t="n"/>
      <c r="F32" s="64" t="n"/>
      <c r="G32" s="64" t="n"/>
      <c r="H32" s="64" t="n"/>
    </row>
    <row r="33" ht="42" customHeight="1" s="54">
      <c r="A33" s="62" t="inlineStr">
        <is>
          <t>X2</t>
        </is>
      </c>
      <c r="B33" s="63" t="inlineStr">
        <is>
          <t>As a visitor, I want the recycling ribbon on the login page.</t>
        </is>
      </c>
      <c r="C33" s="63" t="inlineStr">
        <is>
          <t>Open login signed out.</t>
        </is>
      </c>
      <c r="D33" s="63" t="inlineStr">
        <is>
          <t>Green ribbon shows on login.</t>
        </is>
      </c>
      <c r="E33" s="64" t="n"/>
      <c r="F33" s="64" t="n"/>
      <c r="G33" s="64" t="n"/>
      <c r="H33" s="64" t="n"/>
    </row>
  </sheetData>
  <mergeCells count="6">
    <mergeCell ref="A4:H4"/>
    <mergeCell ref="G2:H2"/>
    <mergeCell ref="E2:F2"/>
    <mergeCell ref="A11:H11"/>
    <mergeCell ref="A1:H1"/>
    <mergeCell ref="A31:H31"/>
  </mergeCells>
  <conditionalFormatting sqref="E4:E33">
    <cfRule type="cellIs" priority="1" operator="equal" dxfId="3">
      <formula>"Pass"</formula>
    </cfRule>
    <cfRule type="cellIs" priority="2" operator="equal" dxfId="4">
      <formula>"Fail"</formula>
    </cfRule>
    <cfRule type="cellIs" priority="3" operator="equal" dxfId="5">
      <formula>"Blocked"</formula>
    </cfRule>
  </conditionalFormatting>
  <conditionalFormatting sqref="G4:G33">
    <cfRule type="cellIs" priority="4" operator="equal" dxfId="3">
      <formula>"Pass"</formula>
    </cfRule>
    <cfRule type="cellIs" priority="5" operator="equal" dxfId="4">
      <formula>"Fail"</formula>
    </cfRule>
    <cfRule type="cellIs" priority="6" operator="equal" dxfId="5">
      <formula>"Blocked"</formula>
    </cfRule>
  </conditionalFormatting>
  <dataValidations count="1">
    <dataValidation sqref="E4:E33 G4:G33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32" customWidth="1" style="54" min="1" max="1"/>
    <col width="13" customWidth="1" style="54" min="2" max="2"/>
    <col width="13" customWidth="1" style="54" min="3" max="3"/>
    <col width="13" customWidth="1" style="54" min="4" max="4"/>
    <col width="13" customWidth="1" style="54" min="5" max="5"/>
    <col width="13" customWidth="1" style="54" min="6" max="6"/>
    <col width="13" customWidth="1" style="54" min="7" max="7"/>
    <col width="13" customWidth="1" style="54" min="8" max="8"/>
  </cols>
  <sheetData>
    <row r="1" ht="28" customHeight="1" s="54">
      <c r="A1" s="65" t="inlineStr">
        <is>
          <t>Testing summary (live counts)</t>
        </is>
      </c>
      <c r="B1" s="57" t="n"/>
      <c r="C1" s="57" t="n"/>
      <c r="D1" s="57" t="n"/>
      <c r="E1" s="57" t="n"/>
      <c r="F1" s="57" t="n"/>
      <c r="G1" s="57" t="n"/>
      <c r="H1" s="57" t="n"/>
    </row>
    <row r="2">
      <c r="A2" s="66" t="inlineStr">
        <is>
          <t>Counts update automatically as testers fill in each persona tab. Each case is tested by every tester assigned to that persona.</t>
        </is>
      </c>
    </row>
    <row r="4">
      <c r="A4" s="67" t="inlineStr">
        <is>
          <t>Persona</t>
        </is>
      </c>
      <c r="B4" s="67" t="inlineStr">
        <is>
          <t>Cases</t>
        </is>
      </c>
      <c r="C4" s="67" t="inlineStr">
        <is>
          <t>Testers</t>
        </is>
      </c>
      <c r="D4" s="67" t="inlineStr">
        <is>
          <t>Result cells</t>
        </is>
      </c>
      <c r="E4" s="67" t="inlineStr">
        <is>
          <t>Pass</t>
        </is>
      </c>
      <c r="F4" s="67" t="inlineStr">
        <is>
          <t>Fail</t>
        </is>
      </c>
      <c r="G4" s="67" t="inlineStr">
        <is>
          <t>Blocked</t>
        </is>
      </c>
      <c r="H4" s="67" t="inlineStr">
        <is>
          <t>% complete</t>
        </is>
      </c>
    </row>
    <row r="5">
      <c r="A5" s="68" t="inlineStr">
        <is>
          <t>Participant (grades 6–12)</t>
        </is>
      </c>
      <c r="B5" s="69" t="n">
        <v>33</v>
      </c>
      <c r="C5" s="69" t="n">
        <v>2</v>
      </c>
      <c r="D5" s="69">
        <f>$B5*$C5</f>
        <v/>
      </c>
      <c r="E5" s="69">
        <f>COUNTIF('PARTICIPANT'!$E$4:$CZ$2000,"Pass")</f>
        <v/>
      </c>
      <c r="F5" s="69">
        <f>COUNTIF('PARTICIPANT'!$E$4:$CZ$2000,"Fail")</f>
        <v/>
      </c>
      <c r="G5" s="69">
        <f>COUNTIF('PARTICIPANT'!$E$4:$CZ$2000,"Blocked")</f>
        <v/>
      </c>
      <c r="H5" s="70">
        <f>IF($D5=0,0,(COUNTIF('PARTICIPANT'!$E$4:$CZ$2000,"Pass")+COUNTIF('PARTICIPANT'!$E$4:$CZ$2000,"Fail")+COUNTIF('PARTICIPANT'!$E$4:$CZ$2000,"Blocked")+COUNTIF('PARTICIPANT'!$E$4:$CZ$2000,"Not tested"))/$D5)</f>
        <v/>
      </c>
    </row>
    <row r="6">
      <c r="A6" s="68" t="inlineStr">
        <is>
          <t>Parent — elementary (2–5 child)</t>
        </is>
      </c>
      <c r="B6" s="69" t="n">
        <v>32</v>
      </c>
      <c r="C6" s="69" t="n">
        <v>3</v>
      </c>
      <c r="D6" s="69">
        <f>$B6*$C6</f>
        <v/>
      </c>
      <c r="E6" s="69">
        <f>COUNTIF('PARENT-ELEM'!$E$4:$CZ$2000,"Pass")</f>
        <v/>
      </c>
      <c r="F6" s="69">
        <f>COUNTIF('PARENT-ELEM'!$E$4:$CZ$2000,"Fail")</f>
        <v/>
      </c>
      <c r="G6" s="69">
        <f>COUNTIF('PARENT-ELEM'!$E$4:$CZ$2000,"Blocked")</f>
        <v/>
      </c>
      <c r="H6" s="70">
        <f>IF($D6=0,0,(COUNTIF('PARENT-ELEM'!$E$4:$CZ$2000,"Pass")+COUNTIF('PARENT-ELEM'!$E$4:$CZ$2000,"Fail")+COUNTIF('PARENT-ELEM'!$E$4:$CZ$2000,"Blocked")+COUNTIF('PARENT-ELEM'!$E$4:$CZ$2000,"Not tested"))/$D6)</f>
        <v/>
      </c>
    </row>
    <row r="7">
      <c r="A7" s="68" t="inlineStr">
        <is>
          <t>Parent — viewer (6–12 student)</t>
        </is>
      </c>
      <c r="B7" s="69" t="n">
        <v>13</v>
      </c>
      <c r="C7" s="69" t="n">
        <v>2</v>
      </c>
      <c r="D7" s="69">
        <f>$B7*$C7</f>
        <v/>
      </c>
      <c r="E7" s="69">
        <f>COUNTIF('PARENT-VIEW ONLY'!$E$4:$CZ$2000,"Pass")</f>
        <v/>
      </c>
      <c r="F7" s="69">
        <f>COUNTIF('PARENT-VIEW ONLY'!$E$4:$CZ$2000,"Fail")</f>
        <v/>
      </c>
      <c r="G7" s="69">
        <f>COUNTIF('PARENT-VIEW ONLY'!$E$4:$CZ$2000,"Blocked")</f>
        <v/>
      </c>
      <c r="H7" s="70">
        <f>IF($D7=0,0,(COUNTIF('PARENT-VIEW ONLY'!$E$4:$CZ$2000,"Pass")+COUNTIF('PARENT-VIEW ONLY'!$E$4:$CZ$2000,"Fail")+COUNTIF('PARENT-VIEW ONLY'!$E$4:$CZ$2000,"Blocked")+COUNTIF('PARENT-VIEW ONLY'!$E$4:$CZ$2000,"Not tested"))/$D7)</f>
        <v/>
      </c>
    </row>
    <row r="8">
      <c r="A8" s="68" t="inlineStr">
        <is>
          <t>Supervisor</t>
        </is>
      </c>
      <c r="B8" s="69" t="n">
        <v>32</v>
      </c>
      <c r="C8" s="69" t="n">
        <v>3</v>
      </c>
      <c r="D8" s="69">
        <f>$B8*$C8</f>
        <v/>
      </c>
      <c r="E8" s="69">
        <f>COUNTIF('SUPERVISOR'!$E$4:$CZ$2000,"Pass")</f>
        <v/>
      </c>
      <c r="F8" s="69">
        <f>COUNTIF('SUPERVISOR'!$E$4:$CZ$2000,"Fail")</f>
        <v/>
      </c>
      <c r="G8" s="69">
        <f>COUNTIF('SUPERVISOR'!$E$4:$CZ$2000,"Blocked")</f>
        <v/>
      </c>
      <c r="H8" s="70">
        <f>IF($D8=0,0,(COUNTIF('SUPERVISOR'!$E$4:$CZ$2000,"Pass")+COUNTIF('SUPERVISOR'!$E$4:$CZ$2000,"Fail")+COUNTIF('SUPERVISOR'!$E$4:$CZ$2000,"Blocked")+COUNTIF('SUPERVISOR'!$E$4:$CZ$2000,"Not tested"))/$D8)</f>
        <v/>
      </c>
    </row>
    <row r="9">
      <c r="A9" s="68" t="inlineStr">
        <is>
          <t>Admin (single organization)</t>
        </is>
      </c>
      <c r="B9" s="69" t="n">
        <v>24</v>
      </c>
      <c r="C9" s="69" t="n">
        <v>2</v>
      </c>
      <c r="D9" s="69">
        <f>$B9*$C9</f>
        <v/>
      </c>
      <c r="E9" s="69">
        <f>COUNTIF('ADMIN'!$E$4:$CZ$2000,"Pass")</f>
        <v/>
      </c>
      <c r="F9" s="69">
        <f>COUNTIF('ADMIN'!$E$4:$CZ$2000,"Fail")</f>
        <v/>
      </c>
      <c r="G9" s="69">
        <f>COUNTIF('ADMIN'!$E$4:$CZ$2000,"Blocked")</f>
        <v/>
      </c>
      <c r="H9" s="70">
        <f>IF($D9=0,0,(COUNTIF('ADMIN'!$E$4:$CZ$2000,"Pass")+COUNTIF('ADMIN'!$E$4:$CZ$2000,"Fail")+COUNTIF('ADMIN'!$E$4:$CZ$2000,"Blocked")+COUNTIF('ADMIN'!$E$4:$CZ$2000,"Not tested"))/$D9)</f>
        <v/>
      </c>
    </row>
    <row r="10">
      <c r="A10" s="68" t="inlineStr">
        <is>
          <t>Super Admin (whole program)</t>
        </is>
      </c>
      <c r="B10" s="69" t="n">
        <v>27</v>
      </c>
      <c r="C10" s="69" t="n">
        <v>2</v>
      </c>
      <c r="D10" s="69">
        <f>$B10*$C10</f>
        <v/>
      </c>
      <c r="E10" s="69">
        <f>COUNTIF('SUPER ADMIN'!$E$4:$CZ$2000,"Pass")</f>
        <v/>
      </c>
      <c r="F10" s="69">
        <f>COUNTIF('SUPER ADMIN'!$E$4:$CZ$2000,"Fail")</f>
        <v/>
      </c>
      <c r="G10" s="69">
        <f>COUNTIF('SUPER ADMIN'!$E$4:$CZ$2000,"Blocked")</f>
        <v/>
      </c>
      <c r="H10" s="70">
        <f>IF($D10=0,0,(COUNTIF('SUPER ADMIN'!$E$4:$CZ$2000,"Pass")+COUNTIF('SUPER ADMIN'!$E$4:$CZ$2000,"Fail")+COUNTIF('SUPER ADMIN'!$E$4:$CZ$2000,"Blocked")+COUNTIF('SUPER ADMIN'!$E$4:$CZ$2000,"Not tested"))/$D10)</f>
        <v/>
      </c>
    </row>
    <row r="11">
      <c r="A11" s="71" t="inlineStr">
        <is>
          <t>All personas</t>
        </is>
      </c>
      <c r="B11" s="72">
        <f>SUM(B5:B10)</f>
        <v/>
      </c>
      <c r="C11" s="72">
        <f>SUM(C5:C10)</f>
        <v/>
      </c>
      <c r="D11" s="72">
        <f>SUM(D5:D10)</f>
        <v/>
      </c>
      <c r="E11" s="72">
        <f>SUM(E5:E10)</f>
        <v/>
      </c>
      <c r="F11" s="72">
        <f>SUM(F5:F10)</f>
        <v/>
      </c>
      <c r="G11" s="72">
        <f>SUM(G5:G10)</f>
        <v/>
      </c>
      <c r="H11" s="73">
        <f>IF($D11=0,0,(E11+F11+G11+(COUNTIF('PARTICIPANT'!$E$4:$CZ$2000,"Not tested")+COUNTIF('PARENT-ELEM'!$E$4:$CZ$2000,"Not tested")+COUNTIF('PARENT-VIEW ONLY'!$E$4:$CZ$2000,"Not tested")+COUNTIF('SUPERVISOR'!$E$4:$CZ$2000,"Not tested")+COUNTIF('ADMIN'!$E$4:$CZ$2000,"Not tested")+COUNTIF('SUPER ADMIN'!$E$4:$CZ$2000,"Not tested")))/$D11)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2026-09-19T23:52:30Z</dcterms:created>
  <dcterms:modified xsi:type="dcterms:W3CDTF">2026-09-21T02:50:13Z</dcterms:modified>
</cp:coreProperties>
</file>